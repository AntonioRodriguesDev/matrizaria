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0FA7C42D-C5EC-497F-A586-2C6D898A72BA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matrizes!$A$2:$F$108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1" i="3" l="1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A4" i="1" l="1"/>
  <c r="B4" i="1"/>
  <c r="C4" i="1"/>
  <c r="D4" i="1"/>
  <c r="F4" i="1" s="1"/>
  <c r="E4" i="1"/>
  <c r="A5" i="1"/>
  <c r="B5" i="1"/>
  <c r="C5" i="1"/>
  <c r="D5" i="1"/>
  <c r="F5" i="1" s="1"/>
  <c r="E5" i="1"/>
  <c r="A6" i="1"/>
  <c r="B6" i="1"/>
  <c r="C6" i="1"/>
  <c r="D6" i="1"/>
  <c r="F6" i="1" s="1"/>
  <c r="E6" i="1"/>
  <c r="A7" i="1"/>
  <c r="B7" i="1"/>
  <c r="C7" i="1"/>
  <c r="D7" i="1"/>
  <c r="F7" i="1" s="1"/>
  <c r="E7" i="1"/>
  <c r="A8" i="1"/>
  <c r="B8" i="1"/>
  <c r="C8" i="1"/>
  <c r="D8" i="1"/>
  <c r="F8" i="1" s="1"/>
  <c r="E8" i="1"/>
  <c r="A9" i="1"/>
  <c r="B9" i="1"/>
  <c r="C9" i="1"/>
  <c r="D9" i="1"/>
  <c r="F9" i="1" s="1"/>
  <c r="E9" i="1"/>
  <c r="A10" i="1"/>
  <c r="B10" i="1"/>
  <c r="C10" i="1"/>
  <c r="D10" i="1"/>
  <c r="F10" i="1" s="1"/>
  <c r="E10" i="1"/>
  <c r="A11" i="1"/>
  <c r="B11" i="1"/>
  <c r="C11" i="1"/>
  <c r="D11" i="1"/>
  <c r="F11" i="1" s="1"/>
  <c r="E11" i="1"/>
  <c r="A12" i="1"/>
  <c r="B12" i="1"/>
  <c r="C12" i="1"/>
  <c r="D12" i="1"/>
  <c r="F12" i="1" s="1"/>
  <c r="E12" i="1"/>
  <c r="A13" i="1"/>
  <c r="B13" i="1"/>
  <c r="C13" i="1"/>
  <c r="D13" i="1"/>
  <c r="F13" i="1" s="1"/>
  <c r="E13" i="1"/>
  <c r="A14" i="1"/>
  <c r="B14" i="1"/>
  <c r="C14" i="1"/>
  <c r="D14" i="1"/>
  <c r="F14" i="1" s="1"/>
  <c r="E14" i="1"/>
  <c r="A15" i="1"/>
  <c r="B15" i="1"/>
  <c r="C15" i="1"/>
  <c r="D15" i="1"/>
  <c r="F15" i="1" s="1"/>
  <c r="E15" i="1"/>
  <c r="A16" i="1"/>
  <c r="B16" i="1"/>
  <c r="C16" i="1"/>
  <c r="D16" i="1"/>
  <c r="F16" i="1" s="1"/>
  <c r="E16" i="1"/>
  <c r="A17" i="1"/>
  <c r="B17" i="1"/>
  <c r="C17" i="1"/>
  <c r="D17" i="1"/>
  <c r="F17" i="1" s="1"/>
  <c r="E17" i="1"/>
  <c r="A18" i="1"/>
  <c r="B18" i="1"/>
  <c r="C18" i="1"/>
  <c r="D18" i="1"/>
  <c r="F18" i="1" s="1"/>
  <c r="E18" i="1"/>
  <c r="A19" i="1"/>
  <c r="B19" i="1"/>
  <c r="C19" i="1"/>
  <c r="D19" i="1"/>
  <c r="F19" i="1" s="1"/>
  <c r="E19" i="1"/>
  <c r="A20" i="1"/>
  <c r="B20" i="1"/>
  <c r="C20" i="1"/>
  <c r="D20" i="1"/>
  <c r="F20" i="1" s="1"/>
  <c r="E20" i="1"/>
  <c r="A21" i="1"/>
  <c r="B21" i="1"/>
  <c r="C21" i="1"/>
  <c r="D21" i="1"/>
  <c r="F21" i="1" s="1"/>
  <c r="E21" i="1"/>
  <c r="A22" i="1"/>
  <c r="B22" i="1"/>
  <c r="C22" i="1"/>
  <c r="D22" i="1"/>
  <c r="F22" i="1" s="1"/>
  <c r="E22" i="1"/>
  <c r="A23" i="1"/>
  <c r="B23" i="1"/>
  <c r="C23" i="1"/>
  <c r="D23" i="1"/>
  <c r="F23" i="1" s="1"/>
  <c r="E23" i="1"/>
  <c r="A24" i="1"/>
  <c r="B24" i="1"/>
  <c r="C24" i="1"/>
  <c r="D24" i="1"/>
  <c r="F24" i="1" s="1"/>
  <c r="E24" i="1"/>
  <c r="A25" i="1"/>
  <c r="B25" i="1"/>
  <c r="C25" i="1"/>
  <c r="D25" i="1"/>
  <c r="F25" i="1" s="1"/>
  <c r="E25" i="1"/>
  <c r="A26" i="1"/>
  <c r="B26" i="1"/>
  <c r="C26" i="1"/>
  <c r="D26" i="1"/>
  <c r="F26" i="1" s="1"/>
  <c r="E26" i="1"/>
  <c r="A27" i="1"/>
  <c r="B27" i="1"/>
  <c r="C27" i="1"/>
  <c r="D27" i="1"/>
  <c r="F27" i="1" s="1"/>
  <c r="E27" i="1"/>
  <c r="A28" i="1"/>
  <c r="B28" i="1"/>
  <c r="C28" i="1"/>
  <c r="D28" i="1"/>
  <c r="F28" i="1" s="1"/>
  <c r="E28" i="1"/>
  <c r="A29" i="1"/>
  <c r="B29" i="1"/>
  <c r="C29" i="1"/>
  <c r="D29" i="1"/>
  <c r="F29" i="1" s="1"/>
  <c r="E29" i="1"/>
  <c r="A30" i="1"/>
  <c r="B30" i="1"/>
  <c r="C30" i="1"/>
  <c r="D30" i="1"/>
  <c r="F30" i="1" s="1"/>
  <c r="E30" i="1"/>
  <c r="A31" i="1"/>
  <c r="B31" i="1"/>
  <c r="C31" i="1"/>
  <c r="D31" i="1"/>
  <c r="F31" i="1" s="1"/>
  <c r="E31" i="1"/>
  <c r="A32" i="1"/>
  <c r="B32" i="1"/>
  <c r="C32" i="1"/>
  <c r="D32" i="1"/>
  <c r="F32" i="1" s="1"/>
  <c r="E32" i="1"/>
  <c r="A33" i="1"/>
  <c r="B33" i="1"/>
  <c r="C33" i="1"/>
  <c r="D33" i="1"/>
  <c r="F33" i="1" s="1"/>
  <c r="E33" i="1"/>
  <c r="A34" i="1"/>
  <c r="B34" i="1"/>
  <c r="C34" i="1"/>
  <c r="D34" i="1"/>
  <c r="F34" i="1" s="1"/>
  <c r="A35" i="1"/>
  <c r="B35" i="1"/>
  <c r="C35" i="1"/>
  <c r="D35" i="1"/>
  <c r="F35" i="1" s="1"/>
  <c r="E35" i="1"/>
  <c r="A36" i="1"/>
  <c r="B36" i="1"/>
  <c r="C36" i="1"/>
  <c r="D36" i="1"/>
  <c r="F36" i="1" s="1"/>
  <c r="E36" i="1"/>
  <c r="A37" i="1"/>
  <c r="B37" i="1"/>
  <c r="C37" i="1"/>
  <c r="D37" i="1"/>
  <c r="F37" i="1" s="1"/>
  <c r="E37" i="1"/>
  <c r="A38" i="1"/>
  <c r="B38" i="1"/>
  <c r="C38" i="1"/>
  <c r="D38" i="1"/>
  <c r="F38" i="1" s="1"/>
  <c r="E38" i="1"/>
  <c r="A39" i="1"/>
  <c r="B39" i="1"/>
  <c r="C39" i="1"/>
  <c r="D39" i="1"/>
  <c r="F39" i="1" s="1"/>
  <c r="E39" i="1"/>
  <c r="A40" i="1"/>
  <c r="B40" i="1"/>
  <c r="C40" i="1"/>
  <c r="D40" i="1"/>
  <c r="F40" i="1" s="1"/>
  <c r="A41" i="1"/>
  <c r="B41" i="1"/>
  <c r="C41" i="1"/>
  <c r="D41" i="1"/>
  <c r="F41" i="1" s="1"/>
  <c r="E41" i="1"/>
  <c r="A42" i="1"/>
  <c r="B42" i="1"/>
  <c r="C42" i="1"/>
  <c r="D42" i="1"/>
  <c r="F42" i="1" s="1"/>
  <c r="E42" i="1"/>
  <c r="A43" i="1"/>
  <c r="B43" i="1"/>
  <c r="C43" i="1"/>
  <c r="D43" i="1"/>
  <c r="F43" i="1" s="1"/>
  <c r="E43" i="1"/>
  <c r="A44" i="1"/>
  <c r="B44" i="1"/>
  <c r="C44" i="1"/>
  <c r="D44" i="1"/>
  <c r="F44" i="1" s="1"/>
  <c r="E44" i="1"/>
  <c r="A45" i="1"/>
  <c r="B45" i="1"/>
  <c r="C45" i="1"/>
  <c r="D45" i="1"/>
  <c r="F45" i="1" s="1"/>
  <c r="E45" i="1"/>
  <c r="A46" i="1"/>
  <c r="B46" i="1"/>
  <c r="C46" i="1"/>
  <c r="D46" i="1"/>
  <c r="F46" i="1" s="1"/>
  <c r="E46" i="1"/>
  <c r="A47" i="1"/>
  <c r="B47" i="1"/>
  <c r="C47" i="1"/>
  <c r="D47" i="1"/>
  <c r="F47" i="1" s="1"/>
  <c r="E47" i="1"/>
  <c r="A48" i="1"/>
  <c r="B48" i="1"/>
  <c r="C48" i="1"/>
  <c r="D48" i="1"/>
  <c r="F48" i="1" s="1"/>
  <c r="E48" i="1"/>
  <c r="A49" i="1"/>
  <c r="B49" i="1"/>
  <c r="C49" i="1"/>
  <c r="D49" i="1"/>
  <c r="F49" i="1" s="1"/>
  <c r="E49" i="1"/>
  <c r="A50" i="1"/>
  <c r="B50" i="1"/>
  <c r="C50" i="1"/>
  <c r="D50" i="1"/>
  <c r="F50" i="1" s="1"/>
  <c r="E50" i="1"/>
  <c r="A51" i="1"/>
  <c r="C51" i="1"/>
  <c r="D51" i="1"/>
  <c r="F51" i="1" s="1"/>
  <c r="E51" i="1"/>
  <c r="A52" i="1"/>
  <c r="C52" i="1"/>
  <c r="D52" i="1"/>
  <c r="F52" i="1" s="1"/>
  <c r="E52" i="1"/>
  <c r="A53" i="1"/>
  <c r="C53" i="1"/>
  <c r="D53" i="1"/>
  <c r="F53" i="1" s="1"/>
  <c r="E53" i="1"/>
  <c r="A54" i="1"/>
  <c r="C54" i="1"/>
  <c r="D54" i="1"/>
  <c r="F54" i="1" s="1"/>
  <c r="E54" i="1"/>
  <c r="A55" i="1"/>
  <c r="C55" i="1"/>
  <c r="D55" i="1"/>
  <c r="F55" i="1" s="1"/>
  <c r="E55" i="1"/>
  <c r="A56" i="1"/>
  <c r="C56" i="1"/>
  <c r="D56" i="1"/>
  <c r="F56" i="1" s="1"/>
  <c r="E56" i="1"/>
  <c r="A57" i="1"/>
  <c r="C57" i="1"/>
  <c r="D57" i="1"/>
  <c r="F57" i="1" s="1"/>
  <c r="E57" i="1"/>
  <c r="A58" i="1"/>
  <c r="C58" i="1"/>
  <c r="D58" i="1"/>
  <c r="F58" i="1" s="1"/>
  <c r="E58" i="1"/>
  <c r="A59" i="1"/>
  <c r="C59" i="1"/>
  <c r="D59" i="1"/>
  <c r="F59" i="1" s="1"/>
  <c r="E59" i="1"/>
  <c r="A60" i="1"/>
  <c r="C60" i="1"/>
  <c r="D60" i="1"/>
  <c r="F60" i="1" s="1"/>
  <c r="E60" i="1"/>
  <c r="A61" i="1"/>
  <c r="C61" i="1"/>
  <c r="D61" i="1"/>
  <c r="F61" i="1" s="1"/>
  <c r="E61" i="1"/>
  <c r="A62" i="1"/>
  <c r="C62" i="1"/>
  <c r="D62" i="1"/>
  <c r="F62" i="1" s="1"/>
  <c r="E62" i="1"/>
  <c r="A63" i="1"/>
  <c r="C63" i="1"/>
  <c r="D63" i="1"/>
  <c r="F63" i="1" s="1"/>
  <c r="E63" i="1"/>
  <c r="A64" i="1"/>
  <c r="C64" i="1"/>
  <c r="D64" i="1"/>
  <c r="F64" i="1" s="1"/>
  <c r="E64" i="1"/>
  <c r="A65" i="1"/>
  <c r="C65" i="1"/>
  <c r="D65" i="1"/>
  <c r="F65" i="1" s="1"/>
  <c r="E65" i="1"/>
  <c r="A66" i="1"/>
  <c r="C66" i="1"/>
  <c r="D66" i="1"/>
  <c r="F66" i="1" s="1"/>
  <c r="E66" i="1"/>
  <c r="A67" i="1"/>
  <c r="C67" i="1"/>
  <c r="D67" i="1"/>
  <c r="F67" i="1" s="1"/>
  <c r="E67" i="1"/>
  <c r="A68" i="1"/>
  <c r="C68" i="1"/>
  <c r="D68" i="1"/>
  <c r="F68" i="1" s="1"/>
  <c r="E68" i="1"/>
  <c r="A69" i="1"/>
  <c r="C69" i="1"/>
  <c r="D69" i="1"/>
  <c r="F69" i="1" s="1"/>
  <c r="E69" i="1"/>
  <c r="A70" i="1"/>
  <c r="C70" i="1"/>
  <c r="D70" i="1"/>
  <c r="F70" i="1" s="1"/>
  <c r="E70" i="1"/>
  <c r="A71" i="1"/>
  <c r="C71" i="1"/>
  <c r="D71" i="1"/>
  <c r="F71" i="1" s="1"/>
  <c r="E71" i="1"/>
  <c r="A72" i="1"/>
  <c r="C72" i="1"/>
  <c r="D72" i="1"/>
  <c r="F72" i="1" s="1"/>
  <c r="E72" i="1"/>
  <c r="A73" i="1"/>
  <c r="C73" i="1"/>
  <c r="D73" i="1"/>
  <c r="F73" i="1" s="1"/>
  <c r="E73" i="1"/>
  <c r="A74" i="1"/>
  <c r="C74" i="1"/>
  <c r="D74" i="1"/>
  <c r="F74" i="1" s="1"/>
  <c r="E74" i="1"/>
  <c r="A75" i="1"/>
  <c r="C75" i="1"/>
  <c r="D75" i="1"/>
  <c r="F75" i="1" s="1"/>
  <c r="E75" i="1"/>
  <c r="A76" i="1"/>
  <c r="C76" i="1"/>
  <c r="D76" i="1"/>
  <c r="F76" i="1" s="1"/>
  <c r="E76" i="1"/>
  <c r="A77" i="1"/>
  <c r="C77" i="1"/>
  <c r="D77" i="1"/>
  <c r="F77" i="1" s="1"/>
  <c r="E77" i="1"/>
  <c r="A78" i="1"/>
  <c r="C78" i="1"/>
  <c r="D78" i="1"/>
  <c r="F78" i="1" s="1"/>
  <c r="E78" i="1"/>
  <c r="A79" i="1"/>
  <c r="C79" i="1"/>
  <c r="D79" i="1"/>
  <c r="F79" i="1" s="1"/>
  <c r="E79" i="1"/>
  <c r="A80" i="1"/>
  <c r="C80" i="1"/>
  <c r="D80" i="1"/>
  <c r="F80" i="1" s="1"/>
  <c r="E80" i="1"/>
  <c r="A81" i="1"/>
  <c r="C81" i="1"/>
  <c r="D81" i="1"/>
  <c r="F81" i="1" s="1"/>
  <c r="E81" i="1"/>
  <c r="A82" i="1"/>
  <c r="C82" i="1"/>
  <c r="D82" i="1"/>
  <c r="F82" i="1" s="1"/>
  <c r="E82" i="1"/>
  <c r="A83" i="1"/>
  <c r="C83" i="1"/>
  <c r="D83" i="1"/>
  <c r="F83" i="1" s="1"/>
  <c r="E83" i="1"/>
  <c r="A84" i="1"/>
  <c r="C84" i="1"/>
  <c r="D84" i="1"/>
  <c r="F84" i="1" s="1"/>
  <c r="E84" i="1"/>
  <c r="A85" i="1"/>
  <c r="C85" i="1"/>
  <c r="D85" i="1"/>
  <c r="F85" i="1" s="1"/>
  <c r="E85" i="1"/>
  <c r="A86" i="1"/>
  <c r="C86" i="1"/>
  <c r="D86" i="1"/>
  <c r="F86" i="1" s="1"/>
  <c r="E86" i="1"/>
  <c r="A87" i="1"/>
  <c r="C87" i="1"/>
  <c r="D87" i="1"/>
  <c r="F87" i="1" s="1"/>
  <c r="E87" i="1"/>
  <c r="A88" i="1"/>
  <c r="C88" i="1"/>
  <c r="D88" i="1"/>
  <c r="F88" i="1" s="1"/>
  <c r="E88" i="1"/>
  <c r="A89" i="1"/>
  <c r="C89" i="1"/>
  <c r="D89" i="1"/>
  <c r="F89" i="1" s="1"/>
  <c r="E89" i="1"/>
  <c r="A90" i="1"/>
  <c r="C90" i="1"/>
  <c r="D90" i="1"/>
  <c r="F90" i="1" s="1"/>
  <c r="E90" i="1"/>
  <c r="A91" i="1"/>
  <c r="C91" i="1"/>
  <c r="D91" i="1"/>
  <c r="F91" i="1" s="1"/>
  <c r="E91" i="1"/>
  <c r="A92" i="1"/>
  <c r="C92" i="1"/>
  <c r="D92" i="1"/>
  <c r="F92" i="1" s="1"/>
  <c r="E92" i="1"/>
  <c r="A93" i="1"/>
  <c r="C93" i="1"/>
  <c r="D93" i="1"/>
  <c r="F93" i="1" s="1"/>
  <c r="E93" i="1"/>
  <c r="A94" i="1"/>
  <c r="C94" i="1"/>
  <c r="D94" i="1"/>
  <c r="F94" i="1" s="1"/>
  <c r="E94" i="1"/>
  <c r="A95" i="1"/>
  <c r="C95" i="1"/>
  <c r="D95" i="1"/>
  <c r="F95" i="1" s="1"/>
  <c r="E95" i="1"/>
  <c r="A96" i="1"/>
  <c r="C96" i="1"/>
  <c r="D96" i="1"/>
  <c r="F96" i="1" s="1"/>
  <c r="E96" i="1"/>
  <c r="A97" i="1"/>
  <c r="C97" i="1"/>
  <c r="D97" i="1"/>
  <c r="F97" i="1" s="1"/>
  <c r="E97" i="1"/>
  <c r="A98" i="1"/>
  <c r="C98" i="1"/>
  <c r="D98" i="1"/>
  <c r="F98" i="1" s="1"/>
  <c r="E98" i="1"/>
  <c r="A99" i="1"/>
  <c r="C99" i="1"/>
  <c r="D99" i="1"/>
  <c r="F99" i="1" s="1"/>
  <c r="E99" i="1"/>
  <c r="A100" i="1"/>
  <c r="C100" i="1"/>
  <c r="D100" i="1"/>
  <c r="F100" i="1" s="1"/>
  <c r="E100" i="1"/>
  <c r="A101" i="1"/>
  <c r="C101" i="1"/>
  <c r="D101" i="1"/>
  <c r="F101" i="1" s="1"/>
  <c r="E101" i="1"/>
  <c r="A102" i="1"/>
  <c r="C102" i="1"/>
  <c r="D102" i="1"/>
  <c r="F102" i="1" s="1"/>
  <c r="E102" i="1"/>
  <c r="A103" i="1"/>
  <c r="C103" i="1"/>
  <c r="D103" i="1"/>
  <c r="F103" i="1" s="1"/>
  <c r="E103" i="1"/>
  <c r="A104" i="1"/>
  <c r="C104" i="1"/>
  <c r="D104" i="1"/>
  <c r="F104" i="1" s="1"/>
  <c r="E104" i="1"/>
  <c r="A105" i="1"/>
  <c r="C105" i="1"/>
  <c r="D105" i="1"/>
  <c r="F105" i="1" s="1"/>
  <c r="E105" i="1"/>
  <c r="A106" i="1"/>
  <c r="C106" i="1"/>
  <c r="D106" i="1"/>
  <c r="F106" i="1" s="1"/>
  <c r="E106" i="1"/>
  <c r="A107" i="1"/>
  <c r="C107" i="1"/>
  <c r="D107" i="1"/>
  <c r="F107" i="1" s="1"/>
  <c r="E107" i="1"/>
  <c r="E2" i="1"/>
  <c r="E3" i="1"/>
  <c r="B3" i="1"/>
  <c r="C3" i="1"/>
  <c r="D3" i="1"/>
  <c r="A3" i="1"/>
  <c r="E34" i="1"/>
  <c r="E40" i="1"/>
  <c r="B51" i="1" l="1"/>
  <c r="B52" i="1"/>
  <c r="A108" i="1"/>
  <c r="C108" i="1"/>
  <c r="D108" i="1"/>
  <c r="F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108" i="1" l="1"/>
</calcChain>
</file>

<file path=xl/sharedStrings.xml><?xml version="1.0" encoding="utf-8"?>
<sst xmlns="http://schemas.openxmlformats.org/spreadsheetml/2006/main" count="37" uniqueCount="23">
  <si>
    <t>CONTROLE DE MATRIZ</t>
  </si>
  <si>
    <t>REFERENCIA</t>
  </si>
  <si>
    <t>DATA ENVIO</t>
  </si>
  <si>
    <t>QUANTIDADE</t>
  </si>
  <si>
    <t>DATA ENTREGA</t>
  </si>
  <si>
    <t>Z.2176/12</t>
  </si>
  <si>
    <t/>
  </si>
  <si>
    <t>sem pedido</t>
  </si>
  <si>
    <t>P.90594/03</t>
  </si>
  <si>
    <t>M.1811/20 P3 P4</t>
  </si>
  <si>
    <t>E.23178</t>
  </si>
  <si>
    <t>E.81715 - E81641</t>
  </si>
  <si>
    <t>M.0500PON/15</t>
  </si>
  <si>
    <t>E.72322P1 e P2</t>
  </si>
  <si>
    <t>Z.10708/14</t>
  </si>
  <si>
    <t>E.71484P7AL</t>
  </si>
  <si>
    <t>Z.413/07</t>
  </si>
  <si>
    <t>E.22246</t>
  </si>
  <si>
    <t>E.81771</t>
  </si>
  <si>
    <t>E.88813</t>
  </si>
  <si>
    <t>P.4065</t>
  </si>
  <si>
    <t>29/09 e 19/10/2022</t>
  </si>
  <si>
    <t>Foto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</si>
</sst>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3" xfId="0" applyFill="1" applyBorder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5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9525</xdr:rowOff>
        </xdr:from>
        <xdr:to>
          <xdr:col>5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9525</xdr:rowOff>
        </xdr:from>
        <xdr:to>
          <xdr:col>5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19050</xdr:rowOff>
        </xdr:from>
        <xdr:to>
          <xdr:col>5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9525</xdr:rowOff>
        </xdr:from>
        <xdr:to>
          <xdr:col>5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9525</xdr:rowOff>
        </xdr:from>
        <xdr:to>
          <xdr:col>5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19050</xdr:rowOff>
        </xdr:from>
        <xdr:to>
          <xdr:col>5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19050</xdr:rowOff>
        </xdr:from>
        <xdr:to>
          <xdr:col>5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19050</xdr:rowOff>
        </xdr:from>
        <xdr:to>
          <xdr:col>5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19050</xdr:rowOff>
        </xdr:from>
        <xdr:to>
          <xdr:col>5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19050</xdr:rowOff>
        </xdr:from>
        <xdr:to>
          <xdr:col>5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19050</xdr:rowOff>
        </xdr:from>
        <xdr:to>
          <xdr:col>5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28575</xdr:rowOff>
        </xdr:from>
        <xdr:to>
          <xdr:col>5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28575</xdr:rowOff>
        </xdr:from>
        <xdr:to>
          <xdr:col>5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28575</xdr:rowOff>
        </xdr:from>
        <xdr:to>
          <xdr:col>5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28575</xdr:rowOff>
        </xdr:from>
        <xdr:to>
          <xdr:col>5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28575</xdr:rowOff>
        </xdr:from>
        <xdr:to>
          <xdr:col>5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19050</xdr:rowOff>
        </xdr:from>
        <xdr:to>
          <xdr:col>5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9525</xdr:rowOff>
        </xdr:from>
        <xdr:to>
          <xdr:col>5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19050</xdr:rowOff>
        </xdr:from>
        <xdr:to>
          <xdr:col>5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9525</xdr:rowOff>
        </xdr:from>
        <xdr:to>
          <xdr:col>5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28575</xdr:rowOff>
        </xdr:from>
        <xdr:to>
          <xdr:col>5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28575</xdr:rowOff>
        </xdr:from>
        <xdr:to>
          <xdr:col>5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28575</xdr:rowOff>
        </xdr:from>
        <xdr:to>
          <xdr:col>5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28575</xdr:rowOff>
        </xdr:from>
        <xdr:to>
          <xdr:col>5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28575</xdr:rowOff>
        </xdr:from>
        <xdr:to>
          <xdr:col>5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magens\Banco%20de%20dados%20Imag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E6">
            <v>44768</v>
          </cell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E10" t="str">
            <v>sem pedido</v>
          </cell>
        </row>
        <row r="11">
          <cell r="A11" t="str">
            <v>Z.2176/12</v>
          </cell>
          <cell r="B11">
            <v>44757.710403356483</v>
          </cell>
          <cell r="E11" t="str">
            <v>sem pedido</v>
          </cell>
        </row>
        <row r="12">
          <cell r="A12" t="str">
            <v>P.90594/03</v>
          </cell>
          <cell r="B12">
            <v>44757.710567013892</v>
          </cell>
          <cell r="E12" t="str">
            <v>sem pedido</v>
          </cell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</row>
        <row r="14">
          <cell r="A14" t="str">
            <v>M.1811/20</v>
          </cell>
          <cell r="B14">
            <v>44757.712480324073</v>
          </cell>
          <cell r="E14" t="str">
            <v>sem pedido</v>
          </cell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E17">
            <v>44756</v>
          </cell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E23">
            <v>44795</v>
          </cell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E29" t="str">
            <v>sem pedido</v>
          </cell>
        </row>
        <row r="30">
          <cell r="A30" t="str">
            <v>E.23178</v>
          </cell>
          <cell r="B30">
            <v>44776.407489930556</v>
          </cell>
          <cell r="E30" t="str">
            <v>sem pedido</v>
          </cell>
        </row>
        <row r="31">
          <cell r="A31" t="str">
            <v>E.81715</v>
          </cell>
          <cell r="B31">
            <v>44776.407976967595</v>
          </cell>
          <cell r="E31" t="str">
            <v>sem pedido</v>
          </cell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</row>
        <row r="36">
          <cell r="A36" t="str">
            <v>E.22749</v>
          </cell>
          <cell r="B36">
            <v>44790.403100578704</v>
          </cell>
          <cell r="C36">
            <v>44844.369275694444</v>
          </cell>
          <cell r="E36" t="str">
            <v>sem pedido</v>
          </cell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E37" t="str">
            <v>sem pedido</v>
          </cell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E38" t="str">
            <v>sem pedido</v>
          </cell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E39" t="str">
            <v>sem pedido</v>
          </cell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</row>
        <row r="42">
          <cell r="A42" t="str">
            <v>Z.30010/08</v>
          </cell>
          <cell r="B42">
            <v>44791.490180092595</v>
          </cell>
          <cell r="C42">
            <v>44844.369275694444</v>
          </cell>
          <cell r="D42">
            <v>2500</v>
          </cell>
          <cell r="E42">
            <v>44812</v>
          </cell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E44">
            <v>44788</v>
          </cell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E46" t="str">
            <v>sem pedido</v>
          </cell>
        </row>
        <row r="47">
          <cell r="A47" t="str">
            <v>M.0500PON/15</v>
          </cell>
          <cell r="B47">
            <v>44802.3975244213</v>
          </cell>
          <cell r="E47" t="str">
            <v>sem pedido</v>
          </cell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</row>
        <row r="49">
          <cell r="A49" t="str">
            <v>P.4065</v>
          </cell>
          <cell r="B49">
            <v>44817.503611111111</v>
          </cell>
          <cell r="C49">
            <v>44844.369275694444</v>
          </cell>
          <cell r="D49">
            <v>5000</v>
          </cell>
          <cell r="E49">
            <v>44819</v>
          </cell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</row>
        <row r="54">
          <cell r="A54" t="str">
            <v>E.81267</v>
          </cell>
          <cell r="B54">
            <v>44826.597558912035</v>
          </cell>
          <cell r="C54">
            <v>44844.369275694444</v>
          </cell>
          <cell r="D54">
            <v>370000</v>
          </cell>
          <cell r="E54">
            <v>44851</v>
          </cell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</row>
        <row r="56">
          <cell r="A56" t="str">
            <v>E.72322</v>
          </cell>
          <cell r="B56">
            <v>44831.659344675929</v>
          </cell>
          <cell r="D56">
            <v>20</v>
          </cell>
          <cell r="E56">
            <v>44813</v>
          </cell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</row>
        <row r="58">
          <cell r="A58" t="str">
            <v>Z.10708/14</v>
          </cell>
          <cell r="B58">
            <v>44832.692451157411</v>
          </cell>
          <cell r="D58">
            <v>5000</v>
          </cell>
          <cell r="E58">
            <v>44839</v>
          </cell>
        </row>
        <row r="59">
          <cell r="A59" t="str">
            <v>E.23588</v>
          </cell>
          <cell r="B59">
            <v>44832.692756481483</v>
          </cell>
          <cell r="C59">
            <v>44844.369275694444</v>
          </cell>
          <cell r="D59">
            <v>10000</v>
          </cell>
          <cell r="E59">
            <v>44837</v>
          </cell>
        </row>
        <row r="60">
          <cell r="A60" t="str">
            <v>E.81498</v>
          </cell>
          <cell r="B60">
            <v>44833.334815624999</v>
          </cell>
          <cell r="C60">
            <v>44844.369275694444</v>
          </cell>
          <cell r="D60">
            <v>28000</v>
          </cell>
          <cell r="E60">
            <v>44838</v>
          </cell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</row>
        <row r="62">
          <cell r="A62" t="str">
            <v>E.71484P7AL</v>
          </cell>
          <cell r="B62">
            <v>44835.437239236111</v>
          </cell>
          <cell r="D62">
            <v>100</v>
          </cell>
          <cell r="E62">
            <v>44834</v>
          </cell>
        </row>
        <row r="63">
          <cell r="A63" t="str">
            <v>E.81498</v>
          </cell>
          <cell r="B63">
            <v>44835.437906944448</v>
          </cell>
          <cell r="C63">
            <v>44844.369275694444</v>
          </cell>
        </row>
        <row r="64">
          <cell r="A64" t="str">
            <v>Z.0413/07</v>
          </cell>
          <cell r="B64">
            <v>44837.512801851852</v>
          </cell>
          <cell r="D64">
            <v>2000</v>
          </cell>
          <cell r="E64">
            <v>44839</v>
          </cell>
        </row>
        <row r="65">
          <cell r="A65" t="str">
            <v>E.81498</v>
          </cell>
          <cell r="B65">
            <v>44839.362604861111</v>
          </cell>
          <cell r="C65">
            <v>44844.369275694444</v>
          </cell>
          <cell r="E65">
            <v>44846</v>
          </cell>
        </row>
        <row r="66">
          <cell r="A66" t="str">
            <v>E.22246</v>
          </cell>
          <cell r="B66">
            <v>44839.435153356484</v>
          </cell>
          <cell r="D66">
            <v>10000</v>
          </cell>
          <cell r="E66">
            <v>44847</v>
          </cell>
        </row>
        <row r="67">
          <cell r="A67" t="str">
            <v>E.81771</v>
          </cell>
          <cell r="B67">
            <v>44840.712055902775</v>
          </cell>
          <cell r="D67">
            <v>515</v>
          </cell>
          <cell r="E67">
            <v>44834</v>
          </cell>
        </row>
        <row r="68">
          <cell r="A68" t="str">
            <v>E.88813</v>
          </cell>
          <cell r="B68">
            <v>44840.712865393521</v>
          </cell>
          <cell r="D68">
            <v>24200</v>
          </cell>
          <cell r="E68">
            <v>44852</v>
          </cell>
        </row>
        <row r="69">
          <cell r="A69" t="str">
            <v>P.4065</v>
          </cell>
          <cell r="B69">
            <v>44840.713646990742</v>
          </cell>
          <cell r="D69">
            <v>30000</v>
          </cell>
          <cell r="E69" t="str">
            <v>29/09 e 19/10/2022</v>
          </cell>
        </row>
        <row r="70">
          <cell r="A70" t="str">
            <v>P.9004</v>
          </cell>
          <cell r="B70">
            <v>44844.342510648145</v>
          </cell>
          <cell r="D70">
            <v>5000</v>
          </cell>
          <cell r="E70">
            <v>44845</v>
          </cell>
        </row>
        <row r="71">
          <cell r="A71" t="str">
            <v>E.22749</v>
          </cell>
          <cell r="B71">
            <v>44844.34290462963</v>
          </cell>
          <cell r="D71">
            <v>20000</v>
          </cell>
          <cell r="E71">
            <v>44854</v>
          </cell>
        </row>
        <row r="72">
          <cell r="A72" t="str">
            <v>E.72300</v>
          </cell>
          <cell r="B72">
            <v>44844.343248958336</v>
          </cell>
          <cell r="D72">
            <v>1000</v>
          </cell>
          <cell r="E72">
            <v>44854</v>
          </cell>
        </row>
        <row r="73">
          <cell r="A73" t="str">
            <v>Z.10708/08</v>
          </cell>
          <cell r="B73">
            <v>44844.347717592595</v>
          </cell>
          <cell r="D73">
            <v>60000</v>
          </cell>
          <cell r="E73">
            <v>44845</v>
          </cell>
        </row>
        <row r="74">
          <cell r="A74" t="str">
            <v>E.81641</v>
          </cell>
          <cell r="B74">
            <v>44776.407976967595</v>
          </cell>
          <cell r="E74" t="str">
            <v>sem pedido</v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6">
          <cell r="B116" t="str">
            <v/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rincipal"/>
    </sheetNames>
    <sheetDataSet>
      <sheetData sheetId="0" refreshError="1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26" Type="http://schemas.openxmlformats.org/officeDocument/2006/relationships/control" Target="../activeX/activeX14.xml"/><Relationship Id="rId39" Type="http://schemas.openxmlformats.org/officeDocument/2006/relationships/control" Target="../activeX/activeX26.xml"/><Relationship Id="rId3" Type="http://schemas.openxmlformats.org/officeDocument/2006/relationships/control" Target="../activeX/activeX1.xml"/><Relationship Id="rId21" Type="http://schemas.openxmlformats.org/officeDocument/2006/relationships/image" Target="../media/image8.emf"/><Relationship Id="rId34" Type="http://schemas.openxmlformats.org/officeDocument/2006/relationships/control" Target="../activeX/activeX21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17" Type="http://schemas.openxmlformats.org/officeDocument/2006/relationships/control" Target="../activeX/activeX9.xml"/><Relationship Id="rId25" Type="http://schemas.openxmlformats.org/officeDocument/2006/relationships/image" Target="../media/image10.emf"/><Relationship Id="rId33" Type="http://schemas.openxmlformats.org/officeDocument/2006/relationships/control" Target="../activeX/activeX20.xml"/><Relationship Id="rId38" Type="http://schemas.openxmlformats.org/officeDocument/2006/relationships/control" Target="../activeX/activeX25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6.emf"/><Relationship Id="rId20" Type="http://schemas.openxmlformats.org/officeDocument/2006/relationships/control" Target="../activeX/activeX11.xml"/><Relationship Id="rId29" Type="http://schemas.openxmlformats.org/officeDocument/2006/relationships/control" Target="../activeX/activeX16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3.xml"/><Relationship Id="rId32" Type="http://schemas.openxmlformats.org/officeDocument/2006/relationships/control" Target="../activeX/activeX19.xml"/><Relationship Id="rId37" Type="http://schemas.openxmlformats.org/officeDocument/2006/relationships/control" Target="../activeX/activeX24.xml"/><Relationship Id="rId40" Type="http://schemas.openxmlformats.org/officeDocument/2006/relationships/image" Target="../media/image12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8.xml"/><Relationship Id="rId23" Type="http://schemas.openxmlformats.org/officeDocument/2006/relationships/image" Target="../media/image9.emf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23.xml"/><Relationship Id="rId10" Type="http://schemas.openxmlformats.org/officeDocument/2006/relationships/image" Target="../media/image4.emf"/><Relationship Id="rId19" Type="http://schemas.openxmlformats.org/officeDocument/2006/relationships/control" Target="../activeX/activeX10.xml"/><Relationship Id="rId31" Type="http://schemas.openxmlformats.org/officeDocument/2006/relationships/control" Target="../activeX/activeX18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2.xml"/><Relationship Id="rId27" Type="http://schemas.openxmlformats.org/officeDocument/2006/relationships/image" Target="../media/image11.emf"/><Relationship Id="rId30" Type="http://schemas.openxmlformats.org/officeDocument/2006/relationships/control" Target="../activeX/activeX17.xml"/><Relationship Id="rId35" Type="http://schemas.openxmlformats.org/officeDocument/2006/relationships/control" Target="../activeX/activeX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F108"/>
  <sheetViews>
    <sheetView topLeftCell="A2" zoomScale="150" zoomScaleNormal="150" workbookViewId="0">
      <selection activeCell="A2" sqref="A2:D67"/>
    </sheetView>
  </sheetViews>
  <sheetFormatPr defaultRowHeight="15" x14ac:dyDescent="0.25"/>
  <cols>
    <col min="1" max="1" width="17" style="1" customWidth="1"/>
    <col min="2" max="2" width="16.5703125" style="2" bestFit="1" customWidth="1"/>
    <col min="3" max="3" width="16.42578125" style="1" customWidth="1"/>
    <col min="4" max="4" width="19" style="2" customWidth="1"/>
    <col min="5" max="5" width="19" style="2" hidden="1" customWidth="1"/>
    <col min="6" max="6" width="9.140625" hidden="1" customWidth="1"/>
    <col min="7" max="7" width="0" hidden="1" customWidth="1"/>
  </cols>
  <sheetData>
    <row r="1" spans="1:6" ht="45" hidden="1" customHeight="1" thickBot="1" x14ac:dyDescent="0.3">
      <c r="A1" s="10" t="s">
        <v>0</v>
      </c>
      <c r="B1" s="11"/>
      <c r="C1" s="10"/>
      <c r="D1" s="11"/>
      <c r="E1" s="8"/>
    </row>
    <row r="2" spans="1:6" x14ac:dyDescent="0.25">
      <c r="A2" s="3" t="s">
        <v>1</v>
      </c>
      <c r="B2" s="4" t="s">
        <v>2</v>
      </c>
      <c r="C2" s="3" t="s">
        <v>3</v>
      </c>
      <c r="D2" s="4" t="s">
        <v>4</v>
      </c>
      <c r="E2" s="7" t="str">
        <f>IF([1]Plan1!C4&lt;&gt;"",[1]Plan1!C4,"")</f>
        <v>HORA RETORNO</v>
      </c>
    </row>
    <row r="3" spans="1:6" hidden="1" x14ac:dyDescent="0.25">
      <c r="A3" s="5" t="str">
        <f>IF([1]Plan1!A5&lt;&gt;"",[1]Plan1!A5,"")</f>
        <v>E81713</v>
      </c>
      <c r="B3" s="5">
        <f>IF([1]Plan1!B5&lt;&gt;"",[1]Plan1!B5,"")</f>
        <v>44757.45370416667</v>
      </c>
      <c r="C3" s="5">
        <f>IF([1]Plan1!D5&lt;&gt;"",[1]Plan1!D5,"")</f>
        <v>14200</v>
      </c>
      <c r="D3" s="5" t="str">
        <f>IF([1]Plan1!E5&lt;&gt;"",[1]Plan1!E5,"")</f>
        <v>28 e 29/07/2022</v>
      </c>
      <c r="E3" s="6">
        <f>IF([1]Plan1!C5&lt;&gt;"",[1]Plan1!C5,"")</f>
        <v>44776.399334953705</v>
      </c>
      <c r="F3" t="str">
        <f ca="1">IF(D3&lt;TODAY(),"ATRASO","OK")</f>
        <v>OK</v>
      </c>
    </row>
    <row r="4" spans="1:6" hidden="1" x14ac:dyDescent="0.25">
      <c r="A4" s="5" t="str">
        <f>IF([1]Plan1!A6&lt;&gt;"",[1]Plan1!A6,"")</f>
        <v>Z50122/08</v>
      </c>
      <c r="B4" s="5">
        <f>IF([1]Plan1!B6&lt;&gt;"",[1]Plan1!B6,"")</f>
        <v>44757.454377662034</v>
      </c>
      <c r="C4" s="5" t="str">
        <f>IF([1]Plan1!D6&lt;&gt;"",[1]Plan1!D6,"")</f>
        <v/>
      </c>
      <c r="D4" s="5">
        <f>IF([1]Plan1!E6&lt;&gt;"",[1]Plan1!E6,"")</f>
        <v>44768</v>
      </c>
      <c r="E4" s="6">
        <f>IF([1]Plan1!C6&lt;&gt;"",[1]Plan1!C6,"")</f>
        <v>44776.405421064817</v>
      </c>
      <c r="F4" t="str">
        <f t="shared" ref="F4:F67" ca="1" si="0">IF(D4&lt;TODAY(),"ATRASO","OK")</f>
        <v>ATRASO</v>
      </c>
    </row>
    <row r="5" spans="1:6" hidden="1" x14ac:dyDescent="0.25">
      <c r="A5" s="5" t="str">
        <f>IF([1]Plan1!A7&lt;&gt;"",[1]Plan1!A7,"")</f>
        <v>PSP90105/M</v>
      </c>
      <c r="B5" s="5">
        <f>IF([1]Plan1!B7&lt;&gt;"",[1]Plan1!B7,"")</f>
        <v>44757.454737731481</v>
      </c>
      <c r="C5" s="5">
        <f>IF([1]Plan1!D7&lt;&gt;"",[1]Plan1!D7,"")</f>
        <v>3000</v>
      </c>
      <c r="D5" s="5">
        <f>IF([1]Plan1!E7&lt;&gt;"",[1]Plan1!E7,"")</f>
        <v>44756</v>
      </c>
      <c r="E5" s="6">
        <f>IF([1]Plan1!C7&lt;&gt;"",[1]Plan1!C7,"")</f>
        <v>44757.619746296295</v>
      </c>
      <c r="F5" t="str">
        <f t="shared" ca="1" si="0"/>
        <v>ATRASO</v>
      </c>
    </row>
    <row r="6" spans="1:6" hidden="1" x14ac:dyDescent="0.25">
      <c r="A6" s="5" t="str">
        <f>IF([1]Plan1!A8&lt;&gt;"",[1]Plan1!A8,"")</f>
        <v>P4065</v>
      </c>
      <c r="B6" s="5">
        <f>IF([1]Plan1!B8&lt;&gt;"",[1]Plan1!B8,"")</f>
        <v>44757.455109027775</v>
      </c>
      <c r="C6" s="5">
        <f>IF([1]Plan1!D8&lt;&gt;"",[1]Plan1!D8,"")</f>
        <v>20</v>
      </c>
      <c r="D6" s="5">
        <f>IF([1]Plan1!E8&lt;&gt;"",[1]Plan1!E8,"")</f>
        <v>44762</v>
      </c>
      <c r="E6" s="6">
        <f>IF([1]Plan1!C8&lt;&gt;"",[1]Plan1!C8,"")</f>
        <v>44776.399839467595</v>
      </c>
      <c r="F6" t="str">
        <f t="shared" ca="1" si="0"/>
        <v>ATRASO</v>
      </c>
    </row>
    <row r="7" spans="1:6" hidden="1" x14ac:dyDescent="0.25">
      <c r="A7" s="5" t="str">
        <f>IF([1]Plan1!A9&lt;&gt;"",[1]Plan1!A9,"")</f>
        <v>E43729</v>
      </c>
      <c r="B7" s="5">
        <f>IF([1]Plan1!B9&lt;&gt;"",[1]Plan1!B9,"")</f>
        <v>44757.492825694448</v>
      </c>
      <c r="C7" s="5">
        <f>IF([1]Plan1!D9&lt;&gt;"",[1]Plan1!D9,"")</f>
        <v>80000</v>
      </c>
      <c r="D7" s="5">
        <f>IF([1]Plan1!E9&lt;&gt;"",[1]Plan1!E9,"")</f>
        <v>44763</v>
      </c>
      <c r="E7" s="6">
        <f>IF([1]Plan1!C9&lt;&gt;"",[1]Plan1!C9,"")</f>
        <v>44776.400034953702</v>
      </c>
      <c r="F7" t="str">
        <f t="shared" ca="1" si="0"/>
        <v>ATRASO</v>
      </c>
    </row>
    <row r="8" spans="1:6" hidden="1" x14ac:dyDescent="0.25">
      <c r="A8" s="5" t="str">
        <f>IF([1]Plan1!A10&lt;&gt;"",[1]Plan1!A10,"")</f>
        <v>E.55967</v>
      </c>
      <c r="B8" s="5">
        <f>IF([1]Plan1!B10&lt;&gt;"",[1]Plan1!B10,"")</f>
        <v>44757.710627777778</v>
      </c>
      <c r="C8" s="5" t="str">
        <f>IF([1]Plan1!D10&lt;&gt;"",[1]Plan1!D10,"")</f>
        <v/>
      </c>
      <c r="D8" s="5" t="str">
        <f>IF([1]Plan1!E10&lt;&gt;"",[1]Plan1!E10,"")</f>
        <v>sem pedido</v>
      </c>
      <c r="E8" s="6">
        <f>IF([1]Plan1!C10&lt;&gt;"",[1]Plan1!C10,"")</f>
        <v>44784.707010069447</v>
      </c>
      <c r="F8" t="str">
        <f t="shared" ca="1" si="0"/>
        <v>OK</v>
      </c>
    </row>
    <row r="9" spans="1:6" x14ac:dyDescent="0.25">
      <c r="A9" s="5" t="str">
        <f>IF([1]Plan1!A11&lt;&gt;"",[1]Plan1!A11,"")</f>
        <v>Z.2176/12</v>
      </c>
      <c r="B9" s="6">
        <f>IF([1]Plan1!B11&lt;&gt;"",[1]Plan1!B11,"")</f>
        <v>44757.710403356483</v>
      </c>
      <c r="C9" s="5" t="str">
        <f>IF([1]Plan1!D11&lt;&gt;"",[1]Plan1!D11,"")</f>
        <v/>
      </c>
      <c r="D9" s="6" t="str">
        <f>IF([1]Plan1!E11&lt;&gt;"",[1]Plan1!E11,"")</f>
        <v>sem pedido</v>
      </c>
      <c r="E9" s="6" t="str">
        <f>IF([1]Plan1!C11&lt;&gt;"",[1]Plan1!C11,"")</f>
        <v/>
      </c>
      <c r="F9" t="str">
        <f t="shared" ca="1" si="0"/>
        <v>OK</v>
      </c>
    </row>
    <row r="10" spans="1:6" x14ac:dyDescent="0.25">
      <c r="A10" s="5" t="str">
        <f>IF([1]Plan1!A12&lt;&gt;"",[1]Plan1!A12,"")</f>
        <v>P.90594/03</v>
      </c>
      <c r="B10" s="6">
        <f>IF([1]Plan1!B12&lt;&gt;"",[1]Plan1!B12,"")</f>
        <v>44757.710567013892</v>
      </c>
      <c r="C10" s="5" t="str">
        <f>IF([1]Plan1!D12&lt;&gt;"",[1]Plan1!D12,"")</f>
        <v/>
      </c>
      <c r="D10" s="6" t="str">
        <f>IF([1]Plan1!E12&lt;&gt;"",[1]Plan1!E12,"")</f>
        <v>sem pedido</v>
      </c>
      <c r="E10" s="6" t="str">
        <f>IF([1]Plan1!C12&lt;&gt;"",[1]Plan1!C12,"")</f>
        <v/>
      </c>
      <c r="F10" t="str">
        <f t="shared" ca="1" si="0"/>
        <v>OK</v>
      </c>
    </row>
    <row r="11" spans="1:6" hidden="1" x14ac:dyDescent="0.25">
      <c r="A11" s="5" t="str">
        <f>IF([1]Plan1!A13&lt;&gt;"",[1]Plan1!A13,"")</f>
        <v>Z60363/11</v>
      </c>
      <c r="B11" s="5">
        <f>IF([1]Plan1!B13&lt;&gt;"",[1]Plan1!B13,"")</f>
        <v>44757.712093518516</v>
      </c>
      <c r="C11" s="5" t="str">
        <f>IF([1]Plan1!D13&lt;&gt;"",[1]Plan1!D13,"")</f>
        <v/>
      </c>
      <c r="D11" s="5" t="str">
        <f>IF([1]Plan1!E13&lt;&gt;"",[1]Plan1!E13,"")</f>
        <v/>
      </c>
      <c r="E11" s="6">
        <f>IF([1]Plan1!C13&lt;&gt;"",[1]Plan1!C13,"")</f>
        <v>44776.401112268519</v>
      </c>
      <c r="F11" t="str">
        <f t="shared" ca="1" si="0"/>
        <v>OK</v>
      </c>
    </row>
    <row r="12" spans="1:6" x14ac:dyDescent="0.25">
      <c r="A12" s="5" t="str">
        <f>IF([1]Plan1!A14&lt;&gt;"",[1]Plan1!A14,"")</f>
        <v>M.1811/20</v>
      </c>
      <c r="B12" s="6">
        <f>IF([1]Plan1!B14&lt;&gt;"",[1]Plan1!B14,"")</f>
        <v>44757.712480324073</v>
      </c>
      <c r="C12" s="5" t="str">
        <f>IF([1]Plan1!D14&lt;&gt;"",[1]Plan1!D14,"")</f>
        <v/>
      </c>
      <c r="D12" s="6" t="str">
        <f>IF([1]Plan1!E14&lt;&gt;"",[1]Plan1!E14,"")</f>
        <v>sem pedido</v>
      </c>
      <c r="E12" s="6" t="str">
        <f>IF([1]Plan1!C14&lt;&gt;"",[1]Plan1!C14,"")</f>
        <v/>
      </c>
      <c r="F12" t="str">
        <f t="shared" ca="1" si="0"/>
        <v>OK</v>
      </c>
    </row>
    <row r="13" spans="1:6" hidden="1" x14ac:dyDescent="0.25">
      <c r="A13" s="5" t="str">
        <f>IF([1]Plan1!A15&lt;&gt;"",[1]Plan1!A15,"")</f>
        <v>E.71484CC+P1</v>
      </c>
      <c r="B13" s="5">
        <f>IF([1]Plan1!B15&lt;&gt;"",[1]Plan1!B15,"")</f>
        <v>44757.712670601853</v>
      </c>
      <c r="C13" s="5">
        <f>IF([1]Plan1!D15&lt;&gt;"",[1]Plan1!D15,"")</f>
        <v>44</v>
      </c>
      <c r="D13" s="5">
        <f>IF([1]Plan1!E15&lt;&gt;"",[1]Plan1!E15,"")</f>
        <v>44767</v>
      </c>
      <c r="E13" s="6">
        <f>IF([1]Plan1!C15&lt;&gt;"",[1]Plan1!C15,"")</f>
        <v>44784.707545138888</v>
      </c>
      <c r="F13" t="str">
        <f t="shared" ca="1" si="0"/>
        <v>ATRASO</v>
      </c>
    </row>
    <row r="14" spans="1:6" hidden="1" x14ac:dyDescent="0.25">
      <c r="A14" s="5" t="str">
        <f>IF([1]Plan1!A16&lt;&gt;"",[1]Plan1!A16,"")</f>
        <v>M.0100/10</v>
      </c>
      <c r="B14" s="6">
        <f>IF([1]Plan1!B16&lt;&gt;"",[1]Plan1!B16,"")</f>
        <v>44769.47510891204</v>
      </c>
      <c r="C14" s="5">
        <f>IF([1]Plan1!D16&lt;&gt;"",[1]Plan1!D16,"")</f>
        <v>400</v>
      </c>
      <c r="D14" s="6">
        <f>IF([1]Plan1!E16&lt;&gt;"",[1]Plan1!E16,"")</f>
        <v>44771</v>
      </c>
      <c r="E14" s="6">
        <f>IF([1]Plan1!C16&lt;&gt;"",[1]Plan1!C16,"")</f>
        <v>44841.59816666667</v>
      </c>
      <c r="F14" t="str">
        <f t="shared" ca="1" si="0"/>
        <v>ATRASO</v>
      </c>
    </row>
    <row r="15" spans="1:6" hidden="1" x14ac:dyDescent="0.25">
      <c r="A15" s="5" t="str">
        <f>IF([1]Plan1!A17&lt;&gt;"",[1]Plan1!A17,"")</f>
        <v>E43458</v>
      </c>
      <c r="B15" s="5">
        <f>IF([1]Plan1!B17&lt;&gt;"",[1]Plan1!B17,"")</f>
        <v>44769.475303819447</v>
      </c>
      <c r="C15" s="5" t="str">
        <f>IF([1]Plan1!D17&lt;&gt;"",[1]Plan1!D17,"")</f>
        <v/>
      </c>
      <c r="D15" s="5">
        <f>IF([1]Plan1!E17&lt;&gt;"",[1]Plan1!E17,"")</f>
        <v>44756</v>
      </c>
      <c r="E15" s="6">
        <f>IF([1]Plan1!C17&lt;&gt;"",[1]Plan1!C17,"")</f>
        <v>44776.401620949073</v>
      </c>
      <c r="F15" t="str">
        <f t="shared" ca="1" si="0"/>
        <v>ATRASO</v>
      </c>
    </row>
    <row r="16" spans="1:6" hidden="1" x14ac:dyDescent="0.25">
      <c r="A16" s="5" t="str">
        <f>IF([1]Plan1!A18&lt;&gt;"",[1]Plan1!A18,"")</f>
        <v>SALT.8519397</v>
      </c>
      <c r="B16" s="5">
        <f>IF([1]Plan1!B18&lt;&gt;"",[1]Plan1!B18,"")</f>
        <v>44770.338012384258</v>
      </c>
      <c r="C16" s="5">
        <f>IF([1]Plan1!D18&lt;&gt;"",[1]Plan1!D18,"")</f>
        <v>2000</v>
      </c>
      <c r="D16" s="5" t="str">
        <f>IF([1]Plan1!E18&lt;&gt;"",[1]Plan1!E18,"")</f>
        <v>A/C João Schmitt</v>
      </c>
      <c r="E16" s="6">
        <f>IF([1]Plan1!C18&lt;&gt;"",[1]Plan1!C18,"")</f>
        <v>44810.404311689817</v>
      </c>
      <c r="F16" t="str">
        <f t="shared" ca="1" si="0"/>
        <v>OK</v>
      </c>
    </row>
    <row r="17" spans="1:6" hidden="1" x14ac:dyDescent="0.25">
      <c r="A17" s="5" t="str">
        <f>IF([1]Plan1!A19&lt;&gt;"",[1]Plan1!A19,"")</f>
        <v>SA.1191/96</v>
      </c>
      <c r="B17" s="6">
        <f>IF([1]Plan1!B19&lt;&gt;"",[1]Plan1!B19,"")</f>
        <v>44770.338261111108</v>
      </c>
      <c r="C17" s="5">
        <f>IF([1]Plan1!D19&lt;&gt;"",[1]Plan1!D19,"")</f>
        <v>200</v>
      </c>
      <c r="D17" s="6" t="str">
        <f>IF([1]Plan1!E19&lt;&gt;"",[1]Plan1!E19,"")</f>
        <v>A/C João Schmitt</v>
      </c>
      <c r="E17" s="6">
        <f>IF([1]Plan1!C19&lt;&gt;"",[1]Plan1!C19,"")</f>
        <v>44833.656090509263</v>
      </c>
      <c r="F17" t="str">
        <f t="shared" ca="1" si="0"/>
        <v>OK</v>
      </c>
    </row>
    <row r="18" spans="1:6" hidden="1" x14ac:dyDescent="0.25">
      <c r="A18" s="5" t="str">
        <f>IF([1]Plan1!A20&lt;&gt;"",[1]Plan1!A20,"")</f>
        <v>E89867</v>
      </c>
      <c r="B18" s="5">
        <f>IF([1]Plan1!B20&lt;&gt;"",[1]Plan1!B20,"")</f>
        <v>44771.586508449072</v>
      </c>
      <c r="C18" s="5">
        <f>IF([1]Plan1!D20&lt;&gt;"",[1]Plan1!D20,"")</f>
        <v>5710</v>
      </c>
      <c r="D18" s="5">
        <f>IF([1]Plan1!E20&lt;&gt;"",[1]Plan1!E20,"")</f>
        <v>44784</v>
      </c>
      <c r="E18" s="6">
        <f>IF([1]Plan1!C20&lt;&gt;"",[1]Plan1!C20,"")</f>
        <v>44776.401900578705</v>
      </c>
      <c r="F18" t="str">
        <f t="shared" ca="1" si="0"/>
        <v>ATRASO</v>
      </c>
    </row>
    <row r="19" spans="1:6" hidden="1" x14ac:dyDescent="0.25">
      <c r="A19" s="5" t="str">
        <f>IF([1]Plan1!A21&lt;&gt;"",[1]Plan1!A21,"")</f>
        <v>P.90315/07</v>
      </c>
      <c r="B19" s="5">
        <f>IF([1]Plan1!B21&lt;&gt;"",[1]Plan1!B21,"")</f>
        <v>44771.601120254629</v>
      </c>
      <c r="C19" s="5">
        <f>IF([1]Plan1!D21&lt;&gt;"",[1]Plan1!D21,"")</f>
        <v>1000</v>
      </c>
      <c r="D19" s="5">
        <f>IF([1]Plan1!E21&lt;&gt;"",[1]Plan1!E21,"")</f>
        <v>44777</v>
      </c>
      <c r="E19" s="6">
        <f>IF([1]Plan1!C21&lt;&gt;"",[1]Plan1!C21,"")</f>
        <v>44782.352545138892</v>
      </c>
      <c r="F19" t="str">
        <f t="shared" ca="1" si="0"/>
        <v>ATRASO</v>
      </c>
    </row>
    <row r="20" spans="1:6" hidden="1" x14ac:dyDescent="0.25">
      <c r="A20" s="5" t="str">
        <f>IF([1]Plan1!A22&lt;&gt;"",[1]Plan1!A22,"")</f>
        <v>P90105/M</v>
      </c>
      <c r="B20" s="5">
        <f>IF([1]Plan1!B22&lt;&gt;"",[1]Plan1!B22,"")</f>
        <v>44771.60148784722</v>
      </c>
      <c r="C20" s="5">
        <f>IF([1]Plan1!D22&lt;&gt;"",[1]Plan1!D22,"")</f>
        <v>5000</v>
      </c>
      <c r="D20" s="5">
        <f>IF([1]Plan1!E22&lt;&gt;"",[1]Plan1!E22,"")</f>
        <v>44756</v>
      </c>
      <c r="E20" s="6">
        <f>IF([1]Plan1!C22&lt;&gt;"",[1]Plan1!C22,"")</f>
        <v>44776.404317129629</v>
      </c>
      <c r="F20" t="str">
        <f t="shared" ca="1" si="0"/>
        <v>ATRASO</v>
      </c>
    </row>
    <row r="21" spans="1:6" hidden="1" x14ac:dyDescent="0.25">
      <c r="A21" s="5" t="str">
        <f>IF([1]Plan1!A23&lt;&gt;"",[1]Plan1!A23,"")</f>
        <v>E43728</v>
      </c>
      <c r="B21" s="5">
        <f>IF([1]Plan1!B23&lt;&gt;"",[1]Plan1!B23,"")</f>
        <v>44771.601818750001</v>
      </c>
      <c r="C21" s="5" t="str">
        <f>IF([1]Plan1!D23&lt;&gt;"",[1]Plan1!D23,"")</f>
        <v/>
      </c>
      <c r="D21" s="5">
        <f>IF([1]Plan1!E23&lt;&gt;"",[1]Plan1!E23,"")</f>
        <v>44795</v>
      </c>
      <c r="E21" s="6">
        <f>IF([1]Plan1!C23&lt;&gt;"",[1]Plan1!C23,"")</f>
        <v>44776.403584143518</v>
      </c>
      <c r="F21" t="str">
        <f t="shared" ca="1" si="0"/>
        <v>ATRASO</v>
      </c>
    </row>
    <row r="22" spans="1:6" hidden="1" x14ac:dyDescent="0.25">
      <c r="A22" s="5" t="str">
        <f>IF([1]Plan1!A24&lt;&gt;"",[1]Plan1!A24,"")</f>
        <v>P.6206</v>
      </c>
      <c r="B22" s="5">
        <f>IF([1]Plan1!B24&lt;&gt;"",[1]Plan1!B24,"")</f>
        <v>44771.604379629629</v>
      </c>
      <c r="C22" s="5">
        <f>IF([1]Plan1!D24&lt;&gt;"",[1]Plan1!D24,"")</f>
        <v>4500</v>
      </c>
      <c r="D22" s="5">
        <f>IF([1]Plan1!E24&lt;&gt;"",[1]Plan1!E24,"")</f>
        <v>44781</v>
      </c>
      <c r="E22" s="6">
        <f>IF([1]Plan1!C24&lt;&gt;"",[1]Plan1!C24,"")</f>
        <v>44784.707978703707</v>
      </c>
      <c r="F22" t="str">
        <f t="shared" ca="1" si="0"/>
        <v>ATRASO</v>
      </c>
    </row>
    <row r="23" spans="1:6" hidden="1" x14ac:dyDescent="0.25">
      <c r="A23" s="5" t="str">
        <f>IF([1]Plan1!A25&lt;&gt;"",[1]Plan1!A25,"")</f>
        <v>E81264</v>
      </c>
      <c r="B23" s="5">
        <f>IF([1]Plan1!B25&lt;&gt;"",[1]Plan1!B25,"")</f>
        <v>44774.626230787035</v>
      </c>
      <c r="C23" s="5">
        <f>IF([1]Plan1!D25&lt;&gt;"",[1]Plan1!D25,"")</f>
        <v>6000</v>
      </c>
      <c r="D23" s="5">
        <f>IF([1]Plan1!E25&lt;&gt;"",[1]Plan1!E25,"")</f>
        <v>44778</v>
      </c>
      <c r="E23" s="6">
        <f>IF([1]Plan1!C25&lt;&gt;"",[1]Plan1!C25,"")</f>
        <v>44776.682785300924</v>
      </c>
      <c r="F23" t="str">
        <f t="shared" ca="1" si="0"/>
        <v>ATRASO</v>
      </c>
    </row>
    <row r="24" spans="1:6" hidden="1" x14ac:dyDescent="0.25">
      <c r="A24" s="5" t="str">
        <f>IF([1]Plan1!A26&lt;&gt;"",[1]Plan1!A26,"")</f>
        <v>Z.50085/07</v>
      </c>
      <c r="B24" s="5">
        <f>IF([1]Plan1!B26&lt;&gt;"",[1]Plan1!B26,"")</f>
        <v>44774.626649652775</v>
      </c>
      <c r="C24" s="5">
        <f>IF([1]Plan1!D26&lt;&gt;"",[1]Plan1!D26,"")</f>
        <v>201</v>
      </c>
      <c r="D24" s="5">
        <f>IF([1]Plan1!E26&lt;&gt;"",[1]Plan1!E26,"")</f>
        <v>44735</v>
      </c>
      <c r="E24" s="6">
        <f>IF([1]Plan1!C26&lt;&gt;"",[1]Plan1!C26,"")</f>
        <v>44797.342243402774</v>
      </c>
      <c r="F24" t="str">
        <f t="shared" ca="1" si="0"/>
        <v>ATRASO</v>
      </c>
    </row>
    <row r="25" spans="1:6" hidden="1" x14ac:dyDescent="0.25">
      <c r="A25" s="5" t="str">
        <f>IF([1]Plan1!A27&lt;&gt;"",[1]Plan1!A27,"")</f>
        <v>E.89867</v>
      </c>
      <c r="B25" s="5">
        <f>IF([1]Plan1!B27&lt;&gt;"",[1]Plan1!B27,"")</f>
        <v>44776.402060995373</v>
      </c>
      <c r="C25" s="5">
        <f>IF([1]Plan1!D27&lt;&gt;"",[1]Plan1!D27,"")</f>
        <v>6000</v>
      </c>
      <c r="D25" s="5">
        <f>IF([1]Plan1!E27&lt;&gt;"",[1]Plan1!E27,"")</f>
        <v>44775</v>
      </c>
      <c r="E25" s="6">
        <f>IF([1]Plan1!C27&lt;&gt;"",[1]Plan1!C27,"")</f>
        <v>44784.708171296297</v>
      </c>
      <c r="F25" t="str">
        <f t="shared" ca="1" si="0"/>
        <v>ATRASO</v>
      </c>
    </row>
    <row r="26" spans="1:6" hidden="1" x14ac:dyDescent="0.25">
      <c r="A26" s="5" t="str">
        <f>IF([1]Plan1!A28&lt;&gt;"",[1]Plan1!A28,"")</f>
        <v>E.81753</v>
      </c>
      <c r="B26" s="5">
        <f>IF([1]Plan1!B28&lt;&gt;"",[1]Plan1!B28,"")</f>
        <v>44776.40555729167</v>
      </c>
      <c r="C26" s="5">
        <f>IF([1]Plan1!D28&lt;&gt;"",[1]Plan1!D28,"")</f>
        <v>15000</v>
      </c>
      <c r="D26" s="5">
        <f>IF([1]Plan1!E28&lt;&gt;"",[1]Plan1!E28,"")</f>
        <v>44784</v>
      </c>
      <c r="E26" s="6">
        <f>IF([1]Plan1!C28&lt;&gt;"",[1]Plan1!C28,"")</f>
        <v>44788.495741550927</v>
      </c>
      <c r="F26" t="str">
        <f t="shared" ca="1" si="0"/>
        <v>ATRASO</v>
      </c>
    </row>
    <row r="27" spans="1:6" hidden="1" x14ac:dyDescent="0.25">
      <c r="A27" s="5" t="str">
        <f>IF([1]Plan1!A29&lt;&gt;"",[1]Plan1!A29,"")</f>
        <v>Z.10708/08</v>
      </c>
      <c r="B27" s="5">
        <f>IF([1]Plan1!B29&lt;&gt;"",[1]Plan1!B29,"")</f>
        <v>44776.406493518516</v>
      </c>
      <c r="C27" s="5" t="str">
        <f>IF([1]Plan1!D29&lt;&gt;"",[1]Plan1!D29,"")</f>
        <v/>
      </c>
      <c r="D27" s="5" t="str">
        <f>IF([1]Plan1!E29&lt;&gt;"",[1]Plan1!E29,"")</f>
        <v>sem pedido</v>
      </c>
      <c r="E27" s="6">
        <f>IF([1]Plan1!C29&lt;&gt;"",[1]Plan1!C29,"")</f>
        <v>44817.503438310188</v>
      </c>
      <c r="F27" t="str">
        <f t="shared" ca="1" si="0"/>
        <v>OK</v>
      </c>
    </row>
    <row r="28" spans="1:6" x14ac:dyDescent="0.25">
      <c r="A28" s="5" t="str">
        <f>IF([1]Plan1!A30&lt;&gt;"",[1]Plan1!A30,"")</f>
        <v>E.23178</v>
      </c>
      <c r="B28" s="6">
        <f>IF([1]Plan1!B30&lt;&gt;"",[1]Plan1!B30,"")</f>
        <v>44776.407489930556</v>
      </c>
      <c r="C28" s="5" t="str">
        <f>IF([1]Plan1!D30&lt;&gt;"",[1]Plan1!D30,"")</f>
        <v/>
      </c>
      <c r="D28" s="6" t="str">
        <f>IF([1]Plan1!E30&lt;&gt;"",[1]Plan1!E30,"")</f>
        <v>sem pedido</v>
      </c>
      <c r="E28" s="6" t="str">
        <f>IF([1]Plan1!C30&lt;&gt;"",[1]Plan1!C30,"")</f>
        <v/>
      </c>
      <c r="F28" t="str">
        <f t="shared" ca="1" si="0"/>
        <v>OK</v>
      </c>
    </row>
    <row r="29" spans="1:6" x14ac:dyDescent="0.25">
      <c r="A29" s="5" t="str">
        <f>IF([1]Plan1!A31&lt;&gt;"",[1]Plan1!A31,"")</f>
        <v>E.81715</v>
      </c>
      <c r="B29" s="6">
        <f>IF([1]Plan1!B31&lt;&gt;"",[1]Plan1!B31,"")</f>
        <v>44776.407976967595</v>
      </c>
      <c r="C29" s="5" t="str">
        <f>IF([1]Plan1!D31&lt;&gt;"",[1]Plan1!D31,"")</f>
        <v/>
      </c>
      <c r="D29" s="6" t="str">
        <f>IF([1]Plan1!E31&lt;&gt;"",[1]Plan1!E31,"")</f>
        <v>sem pedido</v>
      </c>
      <c r="E29" s="6" t="str">
        <f>IF([1]Plan1!C31&lt;&gt;"",[1]Plan1!C31,"")</f>
        <v/>
      </c>
      <c r="F29" t="str">
        <f t="shared" ca="1" si="0"/>
        <v>OK</v>
      </c>
    </row>
    <row r="30" spans="1:6" hidden="1" x14ac:dyDescent="0.25">
      <c r="A30" s="5" t="str">
        <f>IF([1]Plan1!A32&lt;&gt;"",[1]Plan1!A32,"")</f>
        <v>E.22416</v>
      </c>
      <c r="B30" s="5">
        <f>IF([1]Plan1!B32&lt;&gt;"",[1]Plan1!B32,"")</f>
        <v>44776.687154976855</v>
      </c>
      <c r="C30" s="5">
        <f>IF([1]Plan1!D32&lt;&gt;"",[1]Plan1!D32,"")</f>
        <v>200</v>
      </c>
      <c r="D30" s="5">
        <f>IF([1]Plan1!E32&lt;&gt;"",[1]Plan1!E32,"")</f>
        <v>44782</v>
      </c>
      <c r="E30" s="6">
        <f>IF([1]Plan1!C32&lt;&gt;"",[1]Plan1!C32,"")</f>
        <v>44784.710104861108</v>
      </c>
      <c r="F30" t="str">
        <f t="shared" ca="1" si="0"/>
        <v>ATRASO</v>
      </c>
    </row>
    <row r="31" spans="1:6" hidden="1" x14ac:dyDescent="0.25">
      <c r="A31" s="5" t="str">
        <f>IF([1]Plan1!A33&lt;&gt;"",[1]Plan1!A33,"")</f>
        <v>E.56308P2</v>
      </c>
      <c r="B31" s="5">
        <f>IF([1]Plan1!B33&lt;&gt;"",[1]Plan1!B33,"")</f>
        <v>44776.6875</v>
      </c>
      <c r="C31" s="5">
        <f>IF([1]Plan1!D33&lt;&gt;"",[1]Plan1!D33,"")</f>
        <v>440</v>
      </c>
      <c r="D31" s="5">
        <f>IF([1]Plan1!E33&lt;&gt;"",[1]Plan1!E33,"")</f>
        <v>44782</v>
      </c>
      <c r="E31" s="6">
        <f>IF([1]Plan1!C33&lt;&gt;"",[1]Plan1!C33,"")</f>
        <v>44784.709853703702</v>
      </c>
      <c r="F31" t="str">
        <f t="shared" ca="1" si="0"/>
        <v>ATRASO</v>
      </c>
    </row>
    <row r="32" spans="1:6" hidden="1" x14ac:dyDescent="0.25">
      <c r="A32" s="5" t="str">
        <f>IF([1]Plan1!A34&lt;&gt;"",[1]Plan1!A34,"")</f>
        <v>E.56325</v>
      </c>
      <c r="B32" s="5">
        <f>IF([1]Plan1!B34&lt;&gt;"",[1]Plan1!B34,"")</f>
        <v>44776.687813425924</v>
      </c>
      <c r="C32" s="5" t="str">
        <f>IF([1]Plan1!D34&lt;&gt;"",[1]Plan1!D34,"")</f>
        <v/>
      </c>
      <c r="D32" s="5" t="str">
        <f>IF([1]Plan1!E34&lt;&gt;"",[1]Plan1!E34,"")</f>
        <v/>
      </c>
      <c r="E32" s="6">
        <f>IF([1]Plan1!C34&lt;&gt;"",[1]Plan1!C34,"")</f>
        <v>44784.709721412037</v>
      </c>
      <c r="F32" t="str">
        <f t="shared" ca="1" si="0"/>
        <v>OK</v>
      </c>
    </row>
    <row r="33" spans="1:6" hidden="1" x14ac:dyDescent="0.25">
      <c r="A33" s="5" t="str">
        <f>IF([1]Plan1!A35&lt;&gt;"",[1]Plan1!A35,"")</f>
        <v>SA1140</v>
      </c>
      <c r="B33" s="5">
        <f>IF([1]Plan1!B35&lt;&gt;"",[1]Plan1!B35,"")</f>
        <v>44781.620307407407</v>
      </c>
      <c r="C33" s="5">
        <f>IF([1]Plan1!D35&lt;&gt;"",[1]Plan1!D35,"")</f>
        <v>2000</v>
      </c>
      <c r="D33" s="5">
        <f>IF([1]Plan1!E35&lt;&gt;"",[1]Plan1!E35,"")</f>
        <v>44784</v>
      </c>
      <c r="E33" s="6">
        <f>IF([1]Plan1!C35&lt;&gt;"",[1]Plan1!C35,"")</f>
        <v>44790.700927430553</v>
      </c>
      <c r="F33" t="str">
        <f t="shared" ca="1" si="0"/>
        <v>ATRASO</v>
      </c>
    </row>
    <row r="34" spans="1:6" hidden="1" x14ac:dyDescent="0.25">
      <c r="A34" s="5" t="str">
        <f>IF([1]Plan1!A36&lt;&gt;"",[1]Plan1!A36,"")</f>
        <v>E.22749</v>
      </c>
      <c r="B34" s="5">
        <f>IF([1]Plan1!B36&lt;&gt;"",[1]Plan1!B36,"")</f>
        <v>44790.403100578704</v>
      </c>
      <c r="C34" s="5" t="str">
        <f>IF([1]Plan1!D36&lt;&gt;"",[1]Plan1!D36,"")</f>
        <v/>
      </c>
      <c r="D34" s="5" t="str">
        <f>IF([1]Plan1!E36&lt;&gt;"",[1]Plan1!E36,"")</f>
        <v>sem pedido</v>
      </c>
      <c r="E34" s="6">
        <f ca="1">IF([1]Plan1!C36&lt;&gt;"",[1]Plan1!C36,"")</f>
        <v>44844.369275694444</v>
      </c>
      <c r="F34" t="str">
        <f t="shared" ca="1" si="0"/>
        <v>OK</v>
      </c>
    </row>
    <row r="35" spans="1:6" hidden="1" x14ac:dyDescent="0.25">
      <c r="A35" s="5" t="str">
        <f>IF([1]Plan1!A37&lt;&gt;"",[1]Plan1!A37,"")</f>
        <v>SAZ.30131RF/18</v>
      </c>
      <c r="B35" s="5">
        <f>IF([1]Plan1!B37&lt;&gt;"",[1]Plan1!B37,"")</f>
        <v>44790.403413773151</v>
      </c>
      <c r="C35" s="5" t="str">
        <f>IF([1]Plan1!D37&lt;&gt;"",[1]Plan1!D37,"")</f>
        <v/>
      </c>
      <c r="D35" s="5" t="str">
        <f>IF([1]Plan1!E37&lt;&gt;"",[1]Plan1!E37,"")</f>
        <v>sem pedido</v>
      </c>
      <c r="E35" s="6">
        <f>IF([1]Plan1!C37&lt;&gt;"",[1]Plan1!C37,"")</f>
        <v>44795.596104166667</v>
      </c>
      <c r="F35" t="str">
        <f t="shared" ca="1" si="0"/>
        <v>OK</v>
      </c>
    </row>
    <row r="36" spans="1:6" hidden="1" x14ac:dyDescent="0.25">
      <c r="A36" s="5" t="str">
        <f>IF([1]Plan1!A38&lt;&gt;"",[1]Plan1!A38,"")</f>
        <v>E.81753</v>
      </c>
      <c r="B36" s="6">
        <f>IF([1]Plan1!B38&lt;&gt;"",[1]Plan1!B38,"")</f>
        <v>44790.403645138889</v>
      </c>
      <c r="C36" s="5" t="str">
        <f>IF([1]Plan1!D38&lt;&gt;"",[1]Plan1!D38,"")</f>
        <v/>
      </c>
      <c r="D36" s="6" t="str">
        <f>IF([1]Plan1!E38&lt;&gt;"",[1]Plan1!E38,"")</f>
        <v>sem pedido</v>
      </c>
      <c r="E36" s="6">
        <f>IF([1]Plan1!C38&lt;&gt;"",[1]Plan1!C38,"")</f>
        <v>44831.658109490738</v>
      </c>
      <c r="F36" t="str">
        <f t="shared" ca="1" si="0"/>
        <v>OK</v>
      </c>
    </row>
    <row r="37" spans="1:6" hidden="1" x14ac:dyDescent="0.25">
      <c r="A37" s="5" t="str">
        <f>IF([1]Plan1!A39&lt;&gt;"",[1]Plan1!A39,"")</f>
        <v>E.81498</v>
      </c>
      <c r="B37" s="5">
        <f>IF([1]Plan1!B39&lt;&gt;"",[1]Plan1!B39,"")</f>
        <v>44790.403835532408</v>
      </c>
      <c r="C37" s="5" t="str">
        <f>IF([1]Plan1!D39&lt;&gt;"",[1]Plan1!D39,"")</f>
        <v/>
      </c>
      <c r="D37" s="5" t="str">
        <f>IF([1]Plan1!E39&lt;&gt;"",[1]Plan1!E39,"")</f>
        <v>sem pedido</v>
      </c>
      <c r="E37" s="6">
        <f>IF([1]Plan1!C39&lt;&gt;"",[1]Plan1!C39,"")</f>
        <v>44810.399062500001</v>
      </c>
      <c r="F37" t="str">
        <f t="shared" ca="1" si="0"/>
        <v>OK</v>
      </c>
    </row>
    <row r="38" spans="1:6" hidden="1" x14ac:dyDescent="0.25">
      <c r="A38" s="5" t="str">
        <f>IF([1]Plan1!A40&lt;&gt;"",[1]Plan1!A40,"")</f>
        <v>E.81450</v>
      </c>
      <c r="B38" s="5">
        <f>IF([1]Plan1!B40&lt;&gt;"",[1]Plan1!B40,"")</f>
        <v>44790.623563541667</v>
      </c>
      <c r="C38" s="5">
        <f>IF([1]Plan1!D40&lt;&gt;"",[1]Plan1!D40,"")</f>
        <v>15000</v>
      </c>
      <c r="D38" s="5">
        <f>IF([1]Plan1!E40&lt;&gt;"",[1]Plan1!E40,"")</f>
        <v>44789</v>
      </c>
      <c r="E38" s="6">
        <f>IF([1]Plan1!C40&lt;&gt;"",[1]Plan1!C40,"")</f>
        <v>44810.403825347224</v>
      </c>
      <c r="F38" t="str">
        <f t="shared" ca="1" si="0"/>
        <v>ATRASO</v>
      </c>
    </row>
    <row r="39" spans="1:6" hidden="1" x14ac:dyDescent="0.25">
      <c r="A39" s="5" t="str">
        <f>IF([1]Plan1!A41&lt;&gt;"",[1]Plan1!A41,"")</f>
        <v>P.9004</v>
      </c>
      <c r="B39" s="5">
        <f>IF([1]Plan1!B41&lt;&gt;"",[1]Plan1!B41,"")</f>
        <v>44790.624045370372</v>
      </c>
      <c r="C39" s="5">
        <f>IF([1]Plan1!D41&lt;&gt;"",[1]Plan1!D41,"")</f>
        <v>10000</v>
      </c>
      <c r="D39" s="5">
        <f>IF([1]Plan1!E41&lt;&gt;"",[1]Plan1!E41,"")</f>
        <v>44771</v>
      </c>
      <c r="E39" s="6">
        <f>IF([1]Plan1!C41&lt;&gt;"",[1]Plan1!C41,"")</f>
        <v>44799.717190509262</v>
      </c>
      <c r="F39" t="str">
        <f t="shared" ca="1" si="0"/>
        <v>ATRASO</v>
      </c>
    </row>
    <row r="40" spans="1:6" hidden="1" x14ac:dyDescent="0.25">
      <c r="A40" s="5" t="str">
        <f>IF([1]Plan1!A42&lt;&gt;"",[1]Plan1!A42,"")</f>
        <v>Z.30010/08</v>
      </c>
      <c r="B40" s="5">
        <f>IF([1]Plan1!B42&lt;&gt;"",[1]Plan1!B42,"")</f>
        <v>44791.490180092595</v>
      </c>
      <c r="C40" s="5">
        <f>IF([1]Plan1!D42&lt;&gt;"",[1]Plan1!D42,"")</f>
        <v>2500</v>
      </c>
      <c r="D40" s="5">
        <f>IF([1]Plan1!E42&lt;&gt;"",[1]Plan1!E42,"")</f>
        <v>44812</v>
      </c>
      <c r="E40" s="6">
        <f ca="1">IF([1]Plan1!C42&lt;&gt;"",[1]Plan1!C42,"")</f>
        <v>44844.369275694444</v>
      </c>
      <c r="F40" t="str">
        <f t="shared" ca="1" si="0"/>
        <v>ATRASO</v>
      </c>
    </row>
    <row r="41" spans="1:6" hidden="1" x14ac:dyDescent="0.25">
      <c r="A41" s="5" t="str">
        <f>IF([1]Plan1!A43&lt;&gt;"",[1]Plan1!A43,"")</f>
        <v>Z.50176/25</v>
      </c>
      <c r="B41" s="5">
        <f>IF([1]Plan1!B43&lt;&gt;"",[1]Plan1!B43,"")</f>
        <v>44799.717512962961</v>
      </c>
      <c r="C41" s="5">
        <f>IF([1]Plan1!D43&lt;&gt;"",[1]Plan1!D43,"")</f>
        <v>180</v>
      </c>
      <c r="D41" s="5">
        <f>IF([1]Plan1!E43&lt;&gt;"",[1]Plan1!E43,"")</f>
        <v>44819</v>
      </c>
      <c r="E41" s="6">
        <f>IF([1]Plan1!C43&lt;&gt;"",[1]Plan1!C43,"")</f>
        <v>44810.403114351851</v>
      </c>
      <c r="F41" t="str">
        <f t="shared" ca="1" si="0"/>
        <v>ATRASO</v>
      </c>
    </row>
    <row r="42" spans="1:6" hidden="1" x14ac:dyDescent="0.25">
      <c r="A42" s="5" t="str">
        <f>IF([1]Plan1!A44&lt;&gt;"",[1]Plan1!A44,"")</f>
        <v>SA.3000/192</v>
      </c>
      <c r="B42" s="5">
        <f>IF([1]Plan1!B44&lt;&gt;"",[1]Plan1!B44,"")</f>
        <v>44799.717741666667</v>
      </c>
      <c r="C42" s="5" t="str">
        <f>IF([1]Plan1!D44&lt;&gt;"",[1]Plan1!D44,"")</f>
        <v/>
      </c>
      <c r="D42" s="5">
        <f>IF([1]Plan1!E44&lt;&gt;"",[1]Plan1!E44,"")</f>
        <v>44788</v>
      </c>
      <c r="E42" s="6">
        <f>IF([1]Plan1!C44&lt;&gt;"",[1]Plan1!C44,"")</f>
        <v>44810.399320138888</v>
      </c>
      <c r="F42" t="str">
        <f t="shared" ca="1" si="0"/>
        <v>ATRASO</v>
      </c>
    </row>
    <row r="43" spans="1:6" hidden="1" x14ac:dyDescent="0.25">
      <c r="A43" s="5" t="str">
        <f>IF([1]Plan1!A45&lt;&gt;"",[1]Plan1!A45,"")</f>
        <v>Z.50085/07</v>
      </c>
      <c r="B43" s="6">
        <f>IF([1]Plan1!B45&lt;&gt;"",[1]Plan1!B45,"")</f>
        <v>44802.397081828705</v>
      </c>
      <c r="C43" s="5">
        <f>IF([1]Plan1!D45&lt;&gt;"",[1]Plan1!D45,"")</f>
        <v>1480</v>
      </c>
      <c r="D43" s="6">
        <f>IF([1]Plan1!E45&lt;&gt;"",[1]Plan1!E45,"")</f>
        <v>44823</v>
      </c>
      <c r="E43" s="6">
        <f>IF([1]Plan1!C45&lt;&gt;"",[1]Plan1!C45,"")</f>
        <v>44831.658397916668</v>
      </c>
      <c r="F43" t="str">
        <f t="shared" ca="1" si="0"/>
        <v>ATRASO</v>
      </c>
    </row>
    <row r="44" spans="1:6" hidden="1" x14ac:dyDescent="0.25">
      <c r="A44" s="5" t="str">
        <f>IF([1]Plan1!A46&lt;&gt;"",[1]Plan1!A46,"")</f>
        <v>Z.50084/07</v>
      </c>
      <c r="B44" s="6">
        <f>IF([1]Plan1!B46&lt;&gt;"",[1]Plan1!B46,"")</f>
        <v>44802.397288541666</v>
      </c>
      <c r="C44" s="5" t="str">
        <f>IF([1]Plan1!D46&lt;&gt;"",[1]Plan1!D46,"")</f>
        <v/>
      </c>
      <c r="D44" s="6" t="str">
        <f>IF([1]Plan1!E46&lt;&gt;"",[1]Plan1!E46,"")</f>
        <v>sem pedido</v>
      </c>
      <c r="E44" s="6">
        <f>IF([1]Plan1!C46&lt;&gt;"",[1]Plan1!C46,"")</f>
        <v>44831.658397916668</v>
      </c>
      <c r="F44" t="str">
        <f t="shared" ca="1" si="0"/>
        <v>OK</v>
      </c>
    </row>
    <row r="45" spans="1:6" x14ac:dyDescent="0.25">
      <c r="A45" s="5" t="str">
        <f>IF([1]Plan1!A47&lt;&gt;"",[1]Plan1!A47,"")</f>
        <v>M.0500PON/15</v>
      </c>
      <c r="B45" s="6">
        <f>IF([1]Plan1!B47&lt;&gt;"",[1]Plan1!B47,"")</f>
        <v>44802.3975244213</v>
      </c>
      <c r="C45" s="5" t="str">
        <f>IF([1]Plan1!D47&lt;&gt;"",[1]Plan1!D47,"")</f>
        <v/>
      </c>
      <c r="D45" s="6" t="str">
        <f>IF([1]Plan1!E47&lt;&gt;"",[1]Plan1!E47,"")</f>
        <v>sem pedido</v>
      </c>
      <c r="E45" s="6" t="str">
        <f>IF([1]Plan1!C47&lt;&gt;"",[1]Plan1!C47,"")</f>
        <v/>
      </c>
      <c r="F45" t="str">
        <f t="shared" ca="1" si="0"/>
        <v>OK</v>
      </c>
    </row>
    <row r="46" spans="1:6" hidden="1" x14ac:dyDescent="0.25">
      <c r="A46" s="5" t="str">
        <f>IF([1]Plan1!A48&lt;&gt;"",[1]Plan1!A48,"")</f>
        <v>Z.50204/07</v>
      </c>
      <c r="B46" s="6">
        <f>IF([1]Plan1!B48&lt;&gt;"",[1]Plan1!B48,"")</f>
        <v>44810.399780092594</v>
      </c>
      <c r="C46" s="5">
        <f>IF([1]Plan1!D48&lt;&gt;"",[1]Plan1!D48,"")</f>
        <v>150</v>
      </c>
      <c r="D46" s="6">
        <f>IF([1]Plan1!E48&lt;&gt;"",[1]Plan1!E48,"")</f>
        <v>44816</v>
      </c>
      <c r="E46" s="6">
        <f>IF([1]Plan1!C48&lt;&gt;"",[1]Plan1!C48,"")</f>
        <v>44831.658559027775</v>
      </c>
      <c r="F46" t="str">
        <f t="shared" ca="1" si="0"/>
        <v>ATRASO</v>
      </c>
    </row>
    <row r="47" spans="1:6" hidden="1" x14ac:dyDescent="0.25">
      <c r="A47" s="5" t="str">
        <f>IF([1]Plan1!A49&lt;&gt;"",[1]Plan1!A49,"")</f>
        <v>P.4065</v>
      </c>
      <c r="B47" s="6">
        <f>IF([1]Plan1!B49&lt;&gt;"",[1]Plan1!B49,"")</f>
        <v>44817.503611111111</v>
      </c>
      <c r="C47" s="5">
        <f>IF([1]Plan1!D49&lt;&gt;"",[1]Plan1!D49,"")</f>
        <v>5000</v>
      </c>
      <c r="D47" s="6">
        <f>IF([1]Plan1!E49&lt;&gt;"",[1]Plan1!E49,"")</f>
        <v>44819</v>
      </c>
      <c r="E47" s="6">
        <f ca="1">IF([1]Plan1!C49&lt;&gt;"",[1]Plan1!C49,"")</f>
        <v>44844.369275694444</v>
      </c>
      <c r="F47" t="str">
        <f t="shared" ca="1" si="0"/>
        <v>ATRASO</v>
      </c>
    </row>
    <row r="48" spans="1:6" hidden="1" x14ac:dyDescent="0.25">
      <c r="A48" s="5" t="str">
        <f>IF([1]Plan1!A50&lt;&gt;"",[1]Plan1!A50,"")</f>
        <v>P.7485</v>
      </c>
      <c r="B48" s="5">
        <f>IF([1]Plan1!B50&lt;&gt;"",[1]Plan1!B50,"")</f>
        <v>44817.504098379628</v>
      </c>
      <c r="C48" s="5">
        <f>IF([1]Plan1!D50&lt;&gt;"",[1]Plan1!D50,"")</f>
        <v>2500</v>
      </c>
      <c r="D48" s="5" t="str">
        <f>IF([1]Plan1!E50&lt;&gt;"",[1]Plan1!E50,"")</f>
        <v xml:space="preserve">saldo 01/08 e 15/09/2022  </v>
      </c>
      <c r="E48" s="6">
        <f>IF([1]Plan1!C50&lt;&gt;"",[1]Plan1!C50,"")</f>
        <v>44817.722618287036</v>
      </c>
      <c r="F48" t="str">
        <f t="shared" ca="1" si="0"/>
        <v>OK</v>
      </c>
    </row>
    <row r="49" spans="1:6" hidden="1" x14ac:dyDescent="0.25">
      <c r="A49" s="5" t="str">
        <f>IF([1]Plan1!A51&lt;&gt;"",[1]Plan1!A51,"")</f>
        <v>E.1405</v>
      </c>
      <c r="B49" s="6">
        <f>IF([1]Plan1!B51&lt;&gt;"",[1]Plan1!B51,"")</f>
        <v>44824.639866087964</v>
      </c>
      <c r="C49" s="5">
        <f>IF([1]Plan1!D51&lt;&gt;"",[1]Plan1!D51,"")</f>
        <v>5520</v>
      </c>
      <c r="D49" s="6">
        <f>IF([1]Plan1!E51&lt;&gt;"",[1]Plan1!E51,"")</f>
        <v>44817</v>
      </c>
      <c r="E49" s="6">
        <f>IF([1]Plan1!C51&lt;&gt;"",[1]Plan1!C51,"")</f>
        <v>44832.692167245368</v>
      </c>
      <c r="F49" t="str">
        <f t="shared" ca="1" si="0"/>
        <v>ATRASO</v>
      </c>
    </row>
    <row r="50" spans="1:6" hidden="1" x14ac:dyDescent="0.25">
      <c r="A50" s="5" t="str">
        <f>IF([1]Plan1!A52&lt;&gt;"",[1]Plan1!A52,"")</f>
        <v>E.88851</v>
      </c>
      <c r="B50" s="6">
        <f>IF([1]Plan1!B52&lt;&gt;"",[1]Plan1!B52,"")</f>
        <v>44824.640522569447</v>
      </c>
      <c r="C50" s="5">
        <f>IF([1]Plan1!D52&lt;&gt;"",[1]Plan1!D52,"")</f>
        <v>45000</v>
      </c>
      <c r="D50" s="6" t="str">
        <f>IF([1]Plan1!E52&lt;&gt;"",[1]Plan1!E52,"")</f>
        <v/>
      </c>
      <c r="E50" s="6">
        <f>IF([1]Plan1!C52&lt;&gt;"",[1]Plan1!C52,"")</f>
        <v>44833.563873032406</v>
      </c>
      <c r="F50" t="str">
        <f t="shared" ca="1" si="0"/>
        <v>OK</v>
      </c>
    </row>
    <row r="51" spans="1:6" hidden="1" x14ac:dyDescent="0.25">
      <c r="A51" s="5" t="str">
        <f>IF([1]Plan1!A53&lt;&gt;"",[1]Plan1!A53,"")</f>
        <v>E.5294</v>
      </c>
      <c r="B51" s="6">
        <f>IF([1]Plan1!B53&lt;&gt;"",[1]Plan1!B53,"")</f>
        <v>44826.395920370371</v>
      </c>
      <c r="C51" s="5">
        <f>IF([1]Plan1!D53&lt;&gt;"",[1]Plan1!D53,"")</f>
        <v>1030</v>
      </c>
      <c r="D51" s="6">
        <f>IF([1]Plan1!E53&lt;&gt;"",[1]Plan1!E53,"")</f>
        <v>44830</v>
      </c>
      <c r="E51" s="6">
        <f>IF([1]Plan1!C53&lt;&gt;"",[1]Plan1!C53,"")</f>
        <v>44833.624048495367</v>
      </c>
      <c r="F51" t="str">
        <f t="shared" ca="1" si="0"/>
        <v>ATRASO</v>
      </c>
    </row>
    <row r="52" spans="1:6" hidden="1" x14ac:dyDescent="0.25">
      <c r="A52" s="5" t="str">
        <f>IF([1]Plan1!A54&lt;&gt;"",[1]Plan1!A54,"")</f>
        <v>E.81267</v>
      </c>
      <c r="B52" s="6">
        <f>IF([1]Plan1!B54&lt;&gt;"",[1]Plan1!B54,"")</f>
        <v>44826.597558912035</v>
      </c>
      <c r="C52" s="5">
        <f>IF([1]Plan1!D54&lt;&gt;"",[1]Plan1!D54,"")</f>
        <v>370000</v>
      </c>
      <c r="D52" s="6">
        <f>IF([1]Plan1!E54&lt;&gt;"",[1]Plan1!E54,"")</f>
        <v>44851</v>
      </c>
      <c r="E52" s="6">
        <f ca="1">IF([1]Plan1!C54&lt;&gt;"",[1]Plan1!C54,"")</f>
        <v>44844.369275694444</v>
      </c>
      <c r="F52" t="str">
        <f t="shared" ca="1" si="0"/>
        <v>OK</v>
      </c>
    </row>
    <row r="53" spans="1:6" hidden="1" x14ac:dyDescent="0.25">
      <c r="A53" s="5" t="str">
        <f>IF([1]Plan1!A55&lt;&gt;"",[1]Plan1!A55,"")</f>
        <v>SA1180/160</v>
      </c>
      <c r="B53" s="6">
        <f>IF([1]Plan1!B55&lt;&gt;"",[1]Plan1!B55,"")</f>
        <v>44831.659041666666</v>
      </c>
      <c r="C53" s="5">
        <f>IF([1]Plan1!D55&lt;&gt;"",[1]Plan1!D55,"")</f>
        <v>1000</v>
      </c>
      <c r="D53" s="6" t="str">
        <f>IF([1]Plan1!E55&lt;&gt;"",[1]Plan1!E55,"")</f>
        <v>A/C João Schmitt</v>
      </c>
      <c r="E53" s="6">
        <f>IF([1]Plan1!C55&lt;&gt;"",[1]Plan1!C55,"")</f>
        <v>44833.332429513888</v>
      </c>
      <c r="F53" t="str">
        <f t="shared" ca="1" si="0"/>
        <v>OK</v>
      </c>
    </row>
    <row r="54" spans="1:6" x14ac:dyDescent="0.25">
      <c r="A54" s="5" t="str">
        <f>IF([1]Plan1!A56&lt;&gt;"",[1]Plan1!A56,"")</f>
        <v>E.72322</v>
      </c>
      <c r="B54" s="6">
        <f>IF([1]Plan1!B56&lt;&gt;"",[1]Plan1!B56,"")</f>
        <v>44831.659344675929</v>
      </c>
      <c r="C54" s="5">
        <f>IF([1]Plan1!D56&lt;&gt;"",[1]Plan1!D56,"")</f>
        <v>20</v>
      </c>
      <c r="D54" s="6">
        <f>IF([1]Plan1!E56&lt;&gt;"",[1]Plan1!E56,"")</f>
        <v>44813</v>
      </c>
      <c r="E54" s="6" t="str">
        <f>IF([1]Plan1!C56&lt;&gt;"",[1]Plan1!C56,"")</f>
        <v/>
      </c>
      <c r="F54" t="str">
        <f t="shared" ca="1" si="0"/>
        <v>ATRASO</v>
      </c>
    </row>
    <row r="55" spans="1:6" hidden="1" x14ac:dyDescent="0.25">
      <c r="A55" s="5" t="str">
        <f>IF([1]Plan1!A57&lt;&gt;"",[1]Plan1!A57,"")</f>
        <v>P.90650/03</v>
      </c>
      <c r="B55" s="6">
        <f>IF([1]Plan1!B57&lt;&gt;"",[1]Plan1!B57,"")</f>
        <v>44832.446015046298</v>
      </c>
      <c r="C55" s="5">
        <f>IF([1]Plan1!D57&lt;&gt;"",[1]Plan1!D57,"")</f>
        <v>22000</v>
      </c>
      <c r="D55" s="6">
        <f>IF([1]Plan1!E57&lt;&gt;"",[1]Plan1!E57,"")</f>
        <v>44831</v>
      </c>
      <c r="E55" s="6">
        <f>IF([1]Plan1!C57&lt;&gt;"",[1]Plan1!C57,"")</f>
        <v>44837.510438310186</v>
      </c>
      <c r="F55" t="str">
        <f t="shared" ca="1" si="0"/>
        <v>ATRASO</v>
      </c>
    </row>
    <row r="56" spans="1:6" x14ac:dyDescent="0.25">
      <c r="A56" s="5" t="str">
        <f>IF([1]Plan1!A58&lt;&gt;"",[1]Plan1!A58,"")</f>
        <v>Z.10708/14</v>
      </c>
      <c r="B56" s="6">
        <f>IF([1]Plan1!B58&lt;&gt;"",[1]Plan1!B58,"")</f>
        <v>44832.692451157411</v>
      </c>
      <c r="C56" s="5">
        <f>IF([1]Plan1!D58&lt;&gt;"",[1]Plan1!D58,"")</f>
        <v>5000</v>
      </c>
      <c r="D56" s="6">
        <f>IF([1]Plan1!E58&lt;&gt;"",[1]Plan1!E58,"")</f>
        <v>44839</v>
      </c>
      <c r="E56" s="6" t="str">
        <f>IF([1]Plan1!C58&lt;&gt;"",[1]Plan1!C58,"")</f>
        <v/>
      </c>
      <c r="F56" t="str">
        <f t="shared" ca="1" si="0"/>
        <v>ATRASO</v>
      </c>
    </row>
    <row r="57" spans="1:6" hidden="1" x14ac:dyDescent="0.25">
      <c r="A57" s="5" t="str">
        <f>IF([1]Plan1!A59&lt;&gt;"",[1]Plan1!A59,"")</f>
        <v>E.23588</v>
      </c>
      <c r="B57" s="6">
        <f>IF([1]Plan1!B59&lt;&gt;"",[1]Plan1!B59,"")</f>
        <v>44832.692756481483</v>
      </c>
      <c r="C57" s="5">
        <f>IF([1]Plan1!D59&lt;&gt;"",[1]Plan1!D59,"")</f>
        <v>10000</v>
      </c>
      <c r="D57" s="6">
        <f>IF([1]Plan1!E59&lt;&gt;"",[1]Plan1!E59,"")</f>
        <v>44837</v>
      </c>
      <c r="E57" s="6">
        <f ca="1">IF([1]Plan1!C59&lt;&gt;"",[1]Plan1!C59,"")</f>
        <v>44844.369275694444</v>
      </c>
      <c r="F57" t="str">
        <f t="shared" ca="1" si="0"/>
        <v>ATRASO</v>
      </c>
    </row>
    <row r="58" spans="1:6" hidden="1" x14ac:dyDescent="0.25">
      <c r="A58" s="5" t="str">
        <f>IF([1]Plan1!A60&lt;&gt;"",[1]Plan1!A60,"")</f>
        <v>E.81498</v>
      </c>
      <c r="B58" s="6">
        <f>IF([1]Plan1!B60&lt;&gt;"",[1]Plan1!B60,"")</f>
        <v>44833.334815624999</v>
      </c>
      <c r="C58" s="5">
        <f>IF([1]Plan1!D60&lt;&gt;"",[1]Plan1!D60,"")</f>
        <v>28000</v>
      </c>
      <c r="D58" s="6">
        <f>IF([1]Plan1!E60&lt;&gt;"",[1]Plan1!E60,"")</f>
        <v>44838</v>
      </c>
      <c r="E58" s="6">
        <f ca="1">IF([1]Plan1!C60&lt;&gt;"",[1]Plan1!C60,"")</f>
        <v>44844.369275694444</v>
      </c>
      <c r="F58" t="str">
        <f t="shared" ca="1" si="0"/>
        <v>ATRASO</v>
      </c>
    </row>
    <row r="59" spans="1:6" hidden="1" x14ac:dyDescent="0.25">
      <c r="A59" s="5" t="str">
        <f>IF([1]Plan1!A61&lt;&gt;"",[1]Plan1!A61,"")</f>
        <v>E.81267</v>
      </c>
      <c r="B59" s="6">
        <f>IF([1]Plan1!B61&lt;&gt;"",[1]Plan1!B61,"")</f>
        <v>44834.338098495369</v>
      </c>
      <c r="C59" s="5">
        <f>IF([1]Plan1!D61&lt;&gt;"",[1]Plan1!D61,"")</f>
        <v>340000</v>
      </c>
      <c r="D59" s="6">
        <f>IF([1]Plan1!E61&lt;&gt;"",[1]Plan1!E61,"")</f>
        <v>44858</v>
      </c>
      <c r="E59" s="6">
        <f>IF([1]Plan1!C61&lt;&gt;"",[1]Plan1!C61,"")</f>
        <v>44835.437054861111</v>
      </c>
      <c r="F59" t="str">
        <f t="shared" ca="1" si="0"/>
        <v>OK</v>
      </c>
    </row>
    <row r="60" spans="1:6" x14ac:dyDescent="0.25">
      <c r="A60" s="5" t="str">
        <f>IF([1]Plan1!A62&lt;&gt;"",[1]Plan1!A62,"")</f>
        <v>E.71484P7AL</v>
      </c>
      <c r="B60" s="6">
        <f>IF([1]Plan1!B62&lt;&gt;"",[1]Plan1!B62,"")</f>
        <v>44835.437239236111</v>
      </c>
      <c r="C60" s="5">
        <f>IF([1]Plan1!D62&lt;&gt;"",[1]Plan1!D62,"")</f>
        <v>100</v>
      </c>
      <c r="D60" s="6">
        <f>IF([1]Plan1!E62&lt;&gt;"",[1]Plan1!E62,"")</f>
        <v>44834</v>
      </c>
      <c r="E60" s="6" t="str">
        <f>IF([1]Plan1!C62&lt;&gt;"",[1]Plan1!C62,"")</f>
        <v/>
      </c>
      <c r="F60" t="str">
        <f t="shared" ca="1" si="0"/>
        <v>ATRASO</v>
      </c>
    </row>
    <row r="61" spans="1:6" hidden="1" x14ac:dyDescent="0.25">
      <c r="A61" s="5" t="str">
        <f>IF([1]Plan1!A63&lt;&gt;"",[1]Plan1!A63,"")</f>
        <v>E.81498</v>
      </c>
      <c r="B61" s="6">
        <f>IF([1]Plan1!B63&lt;&gt;"",[1]Plan1!B63,"")</f>
        <v>44835.437906944448</v>
      </c>
      <c r="C61" s="5" t="str">
        <f>IF([1]Plan1!D63&lt;&gt;"",[1]Plan1!D63,"")</f>
        <v/>
      </c>
      <c r="D61" s="6" t="str">
        <f>IF([1]Plan1!E63&lt;&gt;"",[1]Plan1!E63,"")</f>
        <v/>
      </c>
      <c r="E61" s="6">
        <f ca="1">IF([1]Plan1!C63&lt;&gt;"",[1]Plan1!C63,"")</f>
        <v>44844.369275694444</v>
      </c>
      <c r="F61" t="str">
        <f t="shared" ca="1" si="0"/>
        <v>OK</v>
      </c>
    </row>
    <row r="62" spans="1:6" x14ac:dyDescent="0.25">
      <c r="A62" s="5" t="str">
        <f>IF([1]Plan1!A64&lt;&gt;"",[1]Plan1!A64,"")</f>
        <v>Z.0413/07</v>
      </c>
      <c r="B62" s="6">
        <f>IF([1]Plan1!B64&lt;&gt;"",[1]Plan1!B64,"")</f>
        <v>44837.512801851852</v>
      </c>
      <c r="C62" s="5">
        <f>IF([1]Plan1!D64&lt;&gt;"",[1]Plan1!D64,"")</f>
        <v>2000</v>
      </c>
      <c r="D62" s="6">
        <f>IF([1]Plan1!E64&lt;&gt;"",[1]Plan1!E64,"")</f>
        <v>44839</v>
      </c>
      <c r="E62" s="6" t="str">
        <f>IF([1]Plan1!C64&lt;&gt;"",[1]Plan1!C64,"")</f>
        <v/>
      </c>
      <c r="F62" t="str">
        <f t="shared" ca="1" si="0"/>
        <v>ATRASO</v>
      </c>
    </row>
    <row r="63" spans="1:6" hidden="1" x14ac:dyDescent="0.25">
      <c r="A63" s="5" t="str">
        <f>IF([1]Plan1!A65&lt;&gt;"",[1]Plan1!A65,"")</f>
        <v>E.81498</v>
      </c>
      <c r="B63" s="6">
        <f>IF([1]Plan1!B65&lt;&gt;"",[1]Plan1!B65,"")</f>
        <v>44839.362604861111</v>
      </c>
      <c r="C63" s="5" t="str">
        <f>IF([1]Plan1!D65&lt;&gt;"",[1]Plan1!D65,"")</f>
        <v/>
      </c>
      <c r="D63" s="6">
        <f>IF([1]Plan1!E65&lt;&gt;"",[1]Plan1!E65,"")</f>
        <v>44846</v>
      </c>
      <c r="E63" s="6">
        <f ca="1">IF([1]Plan1!C65&lt;&gt;"",[1]Plan1!C65,"")</f>
        <v>44844.369275694444</v>
      </c>
      <c r="F63" t="str">
        <f t="shared" ca="1" si="0"/>
        <v>OK</v>
      </c>
    </row>
    <row r="64" spans="1:6" x14ac:dyDescent="0.25">
      <c r="A64" s="5" t="str">
        <f>IF([1]Plan1!A66&lt;&gt;"",[1]Plan1!A66,"")</f>
        <v>E.22246</v>
      </c>
      <c r="B64" s="6">
        <f>IF([1]Plan1!B66&lt;&gt;"",[1]Plan1!B66,"")</f>
        <v>44839.435153356484</v>
      </c>
      <c r="C64" s="5">
        <f>IF([1]Plan1!D66&lt;&gt;"",[1]Plan1!D66,"")</f>
        <v>10000</v>
      </c>
      <c r="D64" s="6">
        <f>IF([1]Plan1!E66&lt;&gt;"",[1]Plan1!E66,"")</f>
        <v>44847</v>
      </c>
      <c r="E64" s="6" t="str">
        <f>IF([1]Plan1!C66&lt;&gt;"",[1]Plan1!C66,"")</f>
        <v/>
      </c>
      <c r="F64" t="str">
        <f t="shared" ca="1" si="0"/>
        <v>OK</v>
      </c>
    </row>
    <row r="65" spans="1:6" x14ac:dyDescent="0.25">
      <c r="A65" s="5" t="str">
        <f>IF([1]Plan1!A67&lt;&gt;"",[1]Plan1!A67,"")</f>
        <v>E.81771</v>
      </c>
      <c r="B65" s="6">
        <f>IF([1]Plan1!B67&lt;&gt;"",[1]Plan1!B67,"")</f>
        <v>44840.712055902775</v>
      </c>
      <c r="C65" s="5">
        <f>IF([1]Plan1!D67&lt;&gt;"",[1]Plan1!D67,"")</f>
        <v>515</v>
      </c>
      <c r="D65" s="6">
        <f>IF([1]Plan1!E67&lt;&gt;"",[1]Plan1!E67,"")</f>
        <v>44834</v>
      </c>
      <c r="E65" s="6" t="str">
        <f>IF([1]Plan1!C67&lt;&gt;"",[1]Plan1!C67,"")</f>
        <v/>
      </c>
      <c r="F65" t="str">
        <f t="shared" ca="1" si="0"/>
        <v>ATRASO</v>
      </c>
    </row>
    <row r="66" spans="1:6" x14ac:dyDescent="0.25">
      <c r="A66" s="5" t="str">
        <f>IF([1]Plan1!A68&lt;&gt;"",[1]Plan1!A68,"")</f>
        <v>E.88813</v>
      </c>
      <c r="B66" s="6">
        <f>IF([1]Plan1!B68&lt;&gt;"",[1]Plan1!B68,"")</f>
        <v>44840.712865393521</v>
      </c>
      <c r="C66" s="5">
        <f>IF([1]Plan1!D68&lt;&gt;"",[1]Plan1!D68,"")</f>
        <v>24200</v>
      </c>
      <c r="D66" s="6">
        <f>IF([1]Plan1!E68&lt;&gt;"",[1]Plan1!E68,"")</f>
        <v>44852</v>
      </c>
      <c r="E66" s="6" t="str">
        <f>IF([1]Plan1!C68&lt;&gt;"",[1]Plan1!C68,"")</f>
        <v/>
      </c>
      <c r="F66" t="str">
        <f t="shared" ca="1" si="0"/>
        <v>OK</v>
      </c>
    </row>
    <row r="67" spans="1:6" x14ac:dyDescent="0.25">
      <c r="A67" s="5" t="str">
        <f>IF([1]Plan1!A69&lt;&gt;"",[1]Plan1!A69,"")</f>
        <v>P.4065</v>
      </c>
      <c r="B67" s="6">
        <f>IF([1]Plan1!B69&lt;&gt;"",[1]Plan1!B69,"")</f>
        <v>44840.713646990742</v>
      </c>
      <c r="C67" s="5">
        <f>IF([1]Plan1!D69&lt;&gt;"",[1]Plan1!D69,"")</f>
        <v>30000</v>
      </c>
      <c r="D67" s="6" t="str">
        <f>IF([1]Plan1!E69&lt;&gt;"",[1]Plan1!E69,"")</f>
        <v>29/09 e 19/10/2022</v>
      </c>
      <c r="E67" s="6" t="str">
        <f>IF([1]Plan1!C69&lt;&gt;"",[1]Plan1!C69,"")</f>
        <v/>
      </c>
      <c r="F67" t="str">
        <f t="shared" ca="1" si="0"/>
        <v>OK</v>
      </c>
    </row>
    <row r="68" spans="1:6" x14ac:dyDescent="0.25">
      <c r="A68" s="5" t="str">
        <f>IF([1]Plan1!A70&lt;&gt;"",[1]Plan1!A70,"")</f>
        <v>P.9004</v>
      </c>
      <c r="B68" s="6">
        <f>IF([1]Plan1!B70&lt;&gt;"",[1]Plan1!B70,"")</f>
        <v>44844.342510648145</v>
      </c>
      <c r="C68" s="5">
        <f>IF([1]Plan1!D70&lt;&gt;"",[1]Plan1!D70,"")</f>
        <v>5000</v>
      </c>
      <c r="D68" s="6">
        <f>IF([1]Plan1!E70&lt;&gt;"",[1]Plan1!E70,"")</f>
        <v>44845</v>
      </c>
      <c r="E68" s="6" t="str">
        <f>IF([1]Plan1!C70&lt;&gt;"",[1]Plan1!C70,"")</f>
        <v/>
      </c>
      <c r="F68" t="str">
        <f t="shared" ref="F68:F107" ca="1" si="1">IF(D68&lt;TODAY(),"ATRASO","OK")</f>
        <v>OK</v>
      </c>
    </row>
    <row r="69" spans="1:6" x14ac:dyDescent="0.25">
      <c r="A69" s="5" t="str">
        <f>IF([1]Plan1!A71&lt;&gt;"",[1]Plan1!A71,"")</f>
        <v>E.22749</v>
      </c>
      <c r="B69" s="6">
        <f>IF([1]Plan1!B71&lt;&gt;"",[1]Plan1!B71,"")</f>
        <v>44844.34290462963</v>
      </c>
      <c r="C69" s="5">
        <f>IF([1]Plan1!D71&lt;&gt;"",[1]Plan1!D71,"")</f>
        <v>20000</v>
      </c>
      <c r="D69" s="6">
        <f>IF([1]Plan1!E71&lt;&gt;"",[1]Plan1!E71,"")</f>
        <v>44854</v>
      </c>
      <c r="E69" s="6" t="str">
        <f>IF([1]Plan1!C71&lt;&gt;"",[1]Plan1!C71,"")</f>
        <v/>
      </c>
      <c r="F69" t="str">
        <f t="shared" ca="1" si="1"/>
        <v>OK</v>
      </c>
    </row>
    <row r="70" spans="1:6" x14ac:dyDescent="0.25">
      <c r="A70" s="5" t="str">
        <f>IF([1]Plan1!A72&lt;&gt;"",[1]Plan1!A72,"")</f>
        <v>E.72300</v>
      </c>
      <c r="B70" s="6">
        <f>IF([1]Plan1!B72&lt;&gt;"",[1]Plan1!B72,"")</f>
        <v>44844.343248958336</v>
      </c>
      <c r="C70" s="5">
        <f>IF([1]Plan1!D72&lt;&gt;"",[1]Plan1!D72,"")</f>
        <v>1000</v>
      </c>
      <c r="D70" s="6">
        <f>IF([1]Plan1!E72&lt;&gt;"",[1]Plan1!E72,"")</f>
        <v>44854</v>
      </c>
      <c r="E70" s="6" t="str">
        <f>IF([1]Plan1!C72&lt;&gt;"",[1]Plan1!C72,"")</f>
        <v/>
      </c>
      <c r="F70" t="str">
        <f t="shared" ca="1" si="1"/>
        <v>OK</v>
      </c>
    </row>
    <row r="71" spans="1:6" x14ac:dyDescent="0.25">
      <c r="A71" s="5" t="str">
        <f>IF([1]Plan1!A73&lt;&gt;"",[1]Plan1!A73,"")</f>
        <v>Z.10708/08</v>
      </c>
      <c r="B71" s="6">
        <f>IF([1]Plan1!B73&lt;&gt;"",[1]Plan1!B73,"")</f>
        <v>44844.347717592595</v>
      </c>
      <c r="C71" s="5">
        <f>IF([1]Plan1!D73&lt;&gt;"",[1]Plan1!D73,"")</f>
        <v>60000</v>
      </c>
      <c r="D71" s="6">
        <f>IF([1]Plan1!E73&lt;&gt;"",[1]Plan1!E73,"")</f>
        <v>44845</v>
      </c>
      <c r="E71" s="6" t="str">
        <f>IF([1]Plan1!C73&lt;&gt;"",[1]Plan1!C73,"")</f>
        <v/>
      </c>
      <c r="F71" t="str">
        <f t="shared" ca="1" si="1"/>
        <v>OK</v>
      </c>
    </row>
    <row r="72" spans="1:6" x14ac:dyDescent="0.25">
      <c r="A72" s="5" t="str">
        <f>IF([1]Plan1!A74&lt;&gt;"",[1]Plan1!A74,"")</f>
        <v>E.81641</v>
      </c>
      <c r="B72" s="6">
        <f>IF([1]Plan1!B74&lt;&gt;"",[1]Plan1!B74,"")</f>
        <v>44776.407976967595</v>
      </c>
      <c r="C72" s="5" t="str">
        <f>IF([1]Plan1!D74&lt;&gt;"",[1]Plan1!D74,"")</f>
        <v/>
      </c>
      <c r="D72" s="6" t="str">
        <f>IF([1]Plan1!E74&lt;&gt;"",[1]Plan1!E74,"")</f>
        <v>sem pedido</v>
      </c>
      <c r="E72" s="6" t="str">
        <f>IF([1]Plan1!C74&lt;&gt;"",[1]Plan1!C74,"")</f>
        <v/>
      </c>
      <c r="F72" t="str">
        <f t="shared" ca="1" si="1"/>
        <v>OK</v>
      </c>
    </row>
    <row r="73" spans="1:6" x14ac:dyDescent="0.25">
      <c r="A73" s="5" t="str">
        <f>IF([1]Plan1!A75&lt;&gt;"",[1]Plan1!A75,"")</f>
        <v/>
      </c>
      <c r="B73" s="6" t="str">
        <f ca="1">IF([1]Plan1!B75&lt;&gt;"",[1]Plan1!B75,"")</f>
        <v/>
      </c>
      <c r="C73" s="5" t="str">
        <f>IF([1]Plan1!D75&lt;&gt;"",[1]Plan1!D75,"")</f>
        <v/>
      </c>
      <c r="D73" s="6" t="str">
        <f>IF([1]Plan1!E75&lt;&gt;"",[1]Plan1!E75,"")</f>
        <v/>
      </c>
      <c r="E73" s="6" t="str">
        <f>IF([1]Plan1!C75&lt;&gt;"",[1]Plan1!C75,"")</f>
        <v/>
      </c>
      <c r="F73" t="str">
        <f t="shared" ca="1" si="1"/>
        <v>OK</v>
      </c>
    </row>
    <row r="74" spans="1:6" x14ac:dyDescent="0.25">
      <c r="A74" s="5" t="str">
        <f>IF([1]Plan1!A76&lt;&gt;"",[1]Plan1!A76,"")</f>
        <v/>
      </c>
      <c r="B74" s="6" t="str">
        <f ca="1">IF([1]Plan1!B76&lt;&gt;"",[1]Plan1!B76,"")</f>
        <v/>
      </c>
      <c r="C74" s="5" t="str">
        <f>IF([1]Plan1!D76&lt;&gt;"",[1]Plan1!D76,"")</f>
        <v/>
      </c>
      <c r="D74" s="6" t="str">
        <f>IF([1]Plan1!E76&lt;&gt;"",[1]Plan1!E76,"")</f>
        <v/>
      </c>
      <c r="E74" s="6" t="str">
        <f>IF([1]Plan1!C76&lt;&gt;"",[1]Plan1!C76,"")</f>
        <v/>
      </c>
      <c r="F74" t="str">
        <f t="shared" ca="1" si="1"/>
        <v>OK</v>
      </c>
    </row>
    <row r="75" spans="1:6" x14ac:dyDescent="0.25">
      <c r="A75" s="5" t="str">
        <f>IF([1]Plan1!A77&lt;&gt;"",[1]Plan1!A77,"")</f>
        <v/>
      </c>
      <c r="B75" s="6" t="str">
        <f ca="1">IF([1]Plan1!B77&lt;&gt;"",[1]Plan1!B77,"")</f>
        <v/>
      </c>
      <c r="C75" s="5" t="str">
        <f>IF([1]Plan1!D77&lt;&gt;"",[1]Plan1!D77,"")</f>
        <v/>
      </c>
      <c r="D75" s="6" t="str">
        <f>IF([1]Plan1!E77&lt;&gt;"",[1]Plan1!E77,"")</f>
        <v/>
      </c>
      <c r="E75" s="6" t="str">
        <f>IF([1]Plan1!C77&lt;&gt;"",[1]Plan1!C77,"")</f>
        <v/>
      </c>
      <c r="F75" t="str">
        <f t="shared" ca="1" si="1"/>
        <v>OK</v>
      </c>
    </row>
    <row r="76" spans="1:6" x14ac:dyDescent="0.25">
      <c r="A76" s="5" t="str">
        <f>IF([1]Plan1!A78&lt;&gt;"",[1]Plan1!A78,"")</f>
        <v/>
      </c>
      <c r="B76" s="6" t="str">
        <f ca="1">IF([1]Plan1!B78&lt;&gt;"",[1]Plan1!B78,"")</f>
        <v/>
      </c>
      <c r="C76" s="5" t="str">
        <f>IF([1]Plan1!D78&lt;&gt;"",[1]Plan1!D78,"")</f>
        <v/>
      </c>
      <c r="D76" s="6" t="str">
        <f>IF([1]Plan1!E78&lt;&gt;"",[1]Plan1!E78,"")</f>
        <v/>
      </c>
      <c r="E76" s="6" t="str">
        <f>IF([1]Plan1!C78&lt;&gt;"",[1]Plan1!C78,"")</f>
        <v/>
      </c>
      <c r="F76" t="str">
        <f t="shared" ca="1" si="1"/>
        <v>OK</v>
      </c>
    </row>
    <row r="77" spans="1:6" x14ac:dyDescent="0.25">
      <c r="A77" s="5" t="str">
        <f>IF([1]Plan1!A79&lt;&gt;"",[1]Plan1!A79,"")</f>
        <v/>
      </c>
      <c r="B77" s="6" t="str">
        <f ca="1">IF([1]Plan1!B79&lt;&gt;"",[1]Plan1!B79,"")</f>
        <v/>
      </c>
      <c r="C77" s="5" t="str">
        <f>IF([1]Plan1!D79&lt;&gt;"",[1]Plan1!D79,"")</f>
        <v/>
      </c>
      <c r="D77" s="6" t="str">
        <f>IF([1]Plan1!E79&lt;&gt;"",[1]Plan1!E79,"")</f>
        <v/>
      </c>
      <c r="E77" s="6" t="str">
        <f>IF([1]Plan1!C79&lt;&gt;"",[1]Plan1!C79,"")</f>
        <v/>
      </c>
      <c r="F77" t="str">
        <f t="shared" ca="1" si="1"/>
        <v>OK</v>
      </c>
    </row>
    <row r="78" spans="1:6" x14ac:dyDescent="0.25">
      <c r="A78" s="5" t="str">
        <f>IF([1]Plan1!A80&lt;&gt;"",[1]Plan1!A80,"")</f>
        <v/>
      </c>
      <c r="B78" s="6" t="str">
        <f ca="1">IF([1]Plan1!B80&lt;&gt;"",[1]Plan1!B80,"")</f>
        <v/>
      </c>
      <c r="C78" s="5" t="str">
        <f>IF([1]Plan1!D80&lt;&gt;"",[1]Plan1!D80,"")</f>
        <v/>
      </c>
      <c r="D78" s="6" t="str">
        <f>IF([1]Plan1!E80&lt;&gt;"",[1]Plan1!E80,"")</f>
        <v/>
      </c>
      <c r="E78" s="6" t="str">
        <f>IF([1]Plan1!C80&lt;&gt;"",[1]Plan1!C80,"")</f>
        <v/>
      </c>
      <c r="F78" t="str">
        <f t="shared" ca="1" si="1"/>
        <v>OK</v>
      </c>
    </row>
    <row r="79" spans="1:6" x14ac:dyDescent="0.25">
      <c r="A79" s="5" t="str">
        <f>IF([1]Plan1!A81&lt;&gt;"",[1]Plan1!A81,"")</f>
        <v/>
      </c>
      <c r="B79" s="6" t="str">
        <f ca="1">IF([1]Plan1!B81&lt;&gt;"",[1]Plan1!B81,"")</f>
        <v/>
      </c>
      <c r="C79" s="5" t="str">
        <f>IF([1]Plan1!D81&lt;&gt;"",[1]Plan1!D81,"")</f>
        <v/>
      </c>
      <c r="D79" s="6" t="str">
        <f>IF([1]Plan1!E81&lt;&gt;"",[1]Plan1!E81,"")</f>
        <v/>
      </c>
      <c r="E79" s="6" t="str">
        <f>IF([1]Plan1!C81&lt;&gt;"",[1]Plan1!C81,"")</f>
        <v/>
      </c>
      <c r="F79" t="str">
        <f t="shared" ca="1" si="1"/>
        <v>OK</v>
      </c>
    </row>
    <row r="80" spans="1:6" x14ac:dyDescent="0.25">
      <c r="A80" s="5" t="str">
        <f>IF([1]Plan1!A82&lt;&gt;"",[1]Plan1!A82,"")</f>
        <v/>
      </c>
      <c r="B80" s="6" t="str">
        <f ca="1">IF([1]Plan1!B82&lt;&gt;"",[1]Plan1!B82,"")</f>
        <v/>
      </c>
      <c r="C80" s="5" t="str">
        <f>IF([1]Plan1!D82&lt;&gt;"",[1]Plan1!D82,"")</f>
        <v/>
      </c>
      <c r="D80" s="6" t="str">
        <f>IF([1]Plan1!E82&lt;&gt;"",[1]Plan1!E82,"")</f>
        <v/>
      </c>
      <c r="E80" s="6" t="str">
        <f>IF([1]Plan1!C82&lt;&gt;"",[1]Plan1!C82,"")</f>
        <v/>
      </c>
      <c r="F80" t="str">
        <f t="shared" ca="1" si="1"/>
        <v>OK</v>
      </c>
    </row>
    <row r="81" spans="1:6" x14ac:dyDescent="0.25">
      <c r="A81" s="5" t="str">
        <f>IF([1]Plan1!A83&lt;&gt;"",[1]Plan1!A83,"")</f>
        <v/>
      </c>
      <c r="B81" s="6" t="str">
        <f ca="1">IF([1]Plan1!B83&lt;&gt;"",[1]Plan1!B83,"")</f>
        <v/>
      </c>
      <c r="C81" s="5" t="str">
        <f>IF([1]Plan1!D83&lt;&gt;"",[1]Plan1!D83,"")</f>
        <v/>
      </c>
      <c r="D81" s="6" t="str">
        <f>IF([1]Plan1!E83&lt;&gt;"",[1]Plan1!E83,"")</f>
        <v/>
      </c>
      <c r="E81" s="6" t="str">
        <f>IF([1]Plan1!C83&lt;&gt;"",[1]Plan1!C83,"")</f>
        <v/>
      </c>
      <c r="F81" t="str">
        <f t="shared" ca="1" si="1"/>
        <v>OK</v>
      </c>
    </row>
    <row r="82" spans="1:6" x14ac:dyDescent="0.25">
      <c r="A82" s="5" t="str">
        <f>IF([1]Plan1!A84&lt;&gt;"",[1]Plan1!A84,"")</f>
        <v/>
      </c>
      <c r="B82" s="6" t="str">
        <f ca="1">IF([1]Plan1!B84&lt;&gt;"",[1]Plan1!B84,"")</f>
        <v/>
      </c>
      <c r="C82" s="5" t="str">
        <f>IF([1]Plan1!D84&lt;&gt;"",[1]Plan1!D84,"")</f>
        <v/>
      </c>
      <c r="D82" s="6" t="str">
        <f>IF([1]Plan1!E84&lt;&gt;"",[1]Plan1!E84,"")</f>
        <v/>
      </c>
      <c r="E82" s="6" t="str">
        <f>IF([1]Plan1!C84&lt;&gt;"",[1]Plan1!C84,"")</f>
        <v/>
      </c>
      <c r="F82" t="str">
        <f t="shared" ca="1" si="1"/>
        <v>OK</v>
      </c>
    </row>
    <row r="83" spans="1:6" x14ac:dyDescent="0.25">
      <c r="A83" s="5" t="str">
        <f>IF([1]Plan1!A85&lt;&gt;"",[1]Plan1!A85,"")</f>
        <v/>
      </c>
      <c r="B83" s="6" t="str">
        <f ca="1">IF([1]Plan1!B85&lt;&gt;"",[1]Plan1!B85,"")</f>
        <v/>
      </c>
      <c r="C83" s="5" t="str">
        <f>IF([1]Plan1!D85&lt;&gt;"",[1]Plan1!D85,"")</f>
        <v/>
      </c>
      <c r="D83" s="6" t="str">
        <f>IF([1]Plan1!E85&lt;&gt;"",[1]Plan1!E85,"")</f>
        <v/>
      </c>
      <c r="E83" s="6" t="str">
        <f>IF([1]Plan1!C85&lt;&gt;"",[1]Plan1!C85,"")</f>
        <v/>
      </c>
      <c r="F83" t="str">
        <f t="shared" ca="1" si="1"/>
        <v>OK</v>
      </c>
    </row>
    <row r="84" spans="1:6" x14ac:dyDescent="0.25">
      <c r="A84" s="5" t="str">
        <f>IF([1]Plan1!A86&lt;&gt;"",[1]Plan1!A86,"")</f>
        <v/>
      </c>
      <c r="B84" s="6" t="str">
        <f ca="1">IF([1]Plan1!B86&lt;&gt;"",[1]Plan1!B86,"")</f>
        <v/>
      </c>
      <c r="C84" s="5" t="str">
        <f>IF([1]Plan1!D86&lt;&gt;"",[1]Plan1!D86,"")</f>
        <v/>
      </c>
      <c r="D84" s="6" t="str">
        <f>IF([1]Plan1!E86&lt;&gt;"",[1]Plan1!E86,"")</f>
        <v/>
      </c>
      <c r="E84" s="6" t="str">
        <f>IF([1]Plan1!C86&lt;&gt;"",[1]Plan1!C86,"")</f>
        <v/>
      </c>
      <c r="F84" t="str">
        <f t="shared" ca="1" si="1"/>
        <v>OK</v>
      </c>
    </row>
    <row r="85" spans="1:6" x14ac:dyDescent="0.25">
      <c r="A85" s="5" t="str">
        <f>IF([1]Plan1!A87&lt;&gt;"",[1]Plan1!A87,"")</f>
        <v/>
      </c>
      <c r="B85" s="6" t="str">
        <f ca="1">IF([1]Plan1!B87&lt;&gt;"",[1]Plan1!B87,"")</f>
        <v/>
      </c>
      <c r="C85" s="5" t="str">
        <f>IF([1]Plan1!D87&lt;&gt;"",[1]Plan1!D87,"")</f>
        <v/>
      </c>
      <c r="D85" s="6" t="str">
        <f>IF([1]Plan1!E87&lt;&gt;"",[1]Plan1!E87,"")</f>
        <v/>
      </c>
      <c r="E85" s="6" t="str">
        <f>IF([1]Plan1!C87&lt;&gt;"",[1]Plan1!C87,"")</f>
        <v/>
      </c>
      <c r="F85" t="str">
        <f t="shared" ca="1" si="1"/>
        <v>OK</v>
      </c>
    </row>
    <row r="86" spans="1:6" x14ac:dyDescent="0.25">
      <c r="A86" s="5" t="str">
        <f>IF([1]Plan1!A88&lt;&gt;"",[1]Plan1!A88,"")</f>
        <v/>
      </c>
      <c r="B86" s="6" t="str">
        <f ca="1">IF([1]Plan1!B88&lt;&gt;"",[1]Plan1!B88,"")</f>
        <v/>
      </c>
      <c r="C86" s="5" t="str">
        <f>IF([1]Plan1!D88&lt;&gt;"",[1]Plan1!D88,"")</f>
        <v/>
      </c>
      <c r="D86" s="6" t="str">
        <f>IF([1]Plan1!E88&lt;&gt;"",[1]Plan1!E88,"")</f>
        <v/>
      </c>
      <c r="E86" s="6" t="str">
        <f>IF([1]Plan1!C88&lt;&gt;"",[1]Plan1!C88,"")</f>
        <v/>
      </c>
      <c r="F86" t="str">
        <f t="shared" ca="1" si="1"/>
        <v>OK</v>
      </c>
    </row>
    <row r="87" spans="1:6" x14ac:dyDescent="0.25">
      <c r="A87" s="5" t="str">
        <f>IF([1]Plan1!A89&lt;&gt;"",[1]Plan1!A89,"")</f>
        <v/>
      </c>
      <c r="B87" s="6" t="str">
        <f ca="1">IF([1]Plan1!B89&lt;&gt;"",[1]Plan1!B89,"")</f>
        <v/>
      </c>
      <c r="C87" s="5" t="str">
        <f>IF([1]Plan1!D89&lt;&gt;"",[1]Plan1!D89,"")</f>
        <v/>
      </c>
      <c r="D87" s="6" t="str">
        <f>IF([1]Plan1!E89&lt;&gt;"",[1]Plan1!E89,"")</f>
        <v/>
      </c>
      <c r="E87" s="6" t="str">
        <f>IF([1]Plan1!C89&lt;&gt;"",[1]Plan1!C89,"")</f>
        <v/>
      </c>
      <c r="F87" t="str">
        <f t="shared" ca="1" si="1"/>
        <v>OK</v>
      </c>
    </row>
    <row r="88" spans="1:6" x14ac:dyDescent="0.25">
      <c r="A88" s="5" t="str">
        <f>IF([1]Plan1!A90&lt;&gt;"",[1]Plan1!A90,"")</f>
        <v/>
      </c>
      <c r="B88" s="6" t="str">
        <f ca="1">IF([1]Plan1!B90&lt;&gt;"",[1]Plan1!B90,"")</f>
        <v/>
      </c>
      <c r="C88" s="5" t="str">
        <f>IF([1]Plan1!D90&lt;&gt;"",[1]Plan1!D90,"")</f>
        <v/>
      </c>
      <c r="D88" s="6" t="str">
        <f>IF([1]Plan1!E90&lt;&gt;"",[1]Plan1!E90,"")</f>
        <v/>
      </c>
      <c r="E88" s="6" t="str">
        <f>IF([1]Plan1!C90&lt;&gt;"",[1]Plan1!C90,"")</f>
        <v/>
      </c>
      <c r="F88" t="str">
        <f t="shared" ca="1" si="1"/>
        <v>OK</v>
      </c>
    </row>
    <row r="89" spans="1:6" x14ac:dyDescent="0.25">
      <c r="A89" s="5" t="str">
        <f>IF([1]Plan1!A91&lt;&gt;"",[1]Plan1!A91,"")</f>
        <v/>
      </c>
      <c r="B89" s="6" t="str">
        <f ca="1">IF([1]Plan1!B91&lt;&gt;"",[1]Plan1!B91,"")</f>
        <v/>
      </c>
      <c r="C89" s="5" t="str">
        <f>IF([1]Plan1!D91&lt;&gt;"",[1]Plan1!D91,"")</f>
        <v/>
      </c>
      <c r="D89" s="6" t="str">
        <f>IF([1]Plan1!E91&lt;&gt;"",[1]Plan1!E91,"")</f>
        <v/>
      </c>
      <c r="E89" s="6" t="str">
        <f>IF([1]Plan1!C91&lt;&gt;"",[1]Plan1!C91,"")</f>
        <v/>
      </c>
      <c r="F89" t="str">
        <f t="shared" ca="1" si="1"/>
        <v>OK</v>
      </c>
    </row>
    <row r="90" spans="1:6" x14ac:dyDescent="0.25">
      <c r="A90" s="5" t="str">
        <f>IF([1]Plan1!A92&lt;&gt;"",[1]Plan1!A92,"")</f>
        <v/>
      </c>
      <c r="B90" s="6" t="str">
        <f ca="1">IF([1]Plan1!B92&lt;&gt;"",[1]Plan1!B92,"")</f>
        <v/>
      </c>
      <c r="C90" s="5" t="str">
        <f>IF([1]Plan1!D92&lt;&gt;"",[1]Plan1!D92,"")</f>
        <v/>
      </c>
      <c r="D90" s="6" t="str">
        <f>IF([1]Plan1!E92&lt;&gt;"",[1]Plan1!E92,"")</f>
        <v/>
      </c>
      <c r="E90" s="6" t="str">
        <f>IF([1]Plan1!C92&lt;&gt;"",[1]Plan1!C92,"")</f>
        <v/>
      </c>
      <c r="F90" t="str">
        <f t="shared" ca="1" si="1"/>
        <v>OK</v>
      </c>
    </row>
    <row r="91" spans="1:6" x14ac:dyDescent="0.25">
      <c r="A91" s="5" t="str">
        <f>IF([1]Plan1!A93&lt;&gt;"",[1]Plan1!A93,"")</f>
        <v/>
      </c>
      <c r="B91" s="6" t="str">
        <f ca="1">IF([1]Plan1!B93&lt;&gt;"",[1]Plan1!B93,"")</f>
        <v/>
      </c>
      <c r="C91" s="5" t="str">
        <f>IF([1]Plan1!D93&lt;&gt;"",[1]Plan1!D93,"")</f>
        <v/>
      </c>
      <c r="D91" s="6" t="str">
        <f>IF([1]Plan1!E93&lt;&gt;"",[1]Plan1!E93,"")</f>
        <v/>
      </c>
      <c r="E91" s="6" t="str">
        <f>IF([1]Plan1!C93&lt;&gt;"",[1]Plan1!C93,"")</f>
        <v/>
      </c>
      <c r="F91" t="str">
        <f t="shared" ca="1" si="1"/>
        <v>OK</v>
      </c>
    </row>
    <row r="92" spans="1:6" x14ac:dyDescent="0.25">
      <c r="A92" s="5" t="str">
        <f>IF([1]Plan1!A94&lt;&gt;"",[1]Plan1!A94,"")</f>
        <v/>
      </c>
      <c r="B92" s="6" t="str">
        <f ca="1">IF([1]Plan1!B94&lt;&gt;"",[1]Plan1!B94,"")</f>
        <v/>
      </c>
      <c r="C92" s="5" t="str">
        <f>IF([1]Plan1!D94&lt;&gt;"",[1]Plan1!D94,"")</f>
        <v/>
      </c>
      <c r="D92" s="6" t="str">
        <f>IF([1]Plan1!E94&lt;&gt;"",[1]Plan1!E94,"")</f>
        <v/>
      </c>
      <c r="E92" s="6" t="str">
        <f>IF([1]Plan1!C94&lt;&gt;"",[1]Plan1!C94,"")</f>
        <v/>
      </c>
      <c r="F92" t="str">
        <f t="shared" ca="1" si="1"/>
        <v>OK</v>
      </c>
    </row>
    <row r="93" spans="1:6" x14ac:dyDescent="0.25">
      <c r="A93" s="5" t="str">
        <f>IF([1]Plan1!A95&lt;&gt;"",[1]Plan1!A95,"")</f>
        <v/>
      </c>
      <c r="B93" s="6" t="str">
        <f ca="1">IF([1]Plan1!B95&lt;&gt;"",[1]Plan1!B95,"")</f>
        <v/>
      </c>
      <c r="C93" s="5" t="str">
        <f>IF([1]Plan1!D95&lt;&gt;"",[1]Plan1!D95,"")</f>
        <v/>
      </c>
      <c r="D93" s="6" t="str">
        <f>IF([1]Plan1!E95&lt;&gt;"",[1]Plan1!E95,"")</f>
        <v/>
      </c>
      <c r="E93" s="6" t="str">
        <f>IF([1]Plan1!C95&lt;&gt;"",[1]Plan1!C95,"")</f>
        <v/>
      </c>
      <c r="F93" t="str">
        <f t="shared" ca="1" si="1"/>
        <v>OK</v>
      </c>
    </row>
    <row r="94" spans="1:6" x14ac:dyDescent="0.25">
      <c r="A94" s="5" t="str">
        <f>IF([1]Plan1!A96&lt;&gt;"",[1]Plan1!A96,"")</f>
        <v/>
      </c>
      <c r="B94" s="6" t="str">
        <f ca="1">IF([1]Plan1!B96&lt;&gt;"",[1]Plan1!B96,"")</f>
        <v/>
      </c>
      <c r="C94" s="5" t="str">
        <f>IF([1]Plan1!D96&lt;&gt;"",[1]Plan1!D96,"")</f>
        <v/>
      </c>
      <c r="D94" s="6" t="str">
        <f>IF([1]Plan1!E96&lt;&gt;"",[1]Plan1!E96,"")</f>
        <v/>
      </c>
      <c r="E94" s="6" t="str">
        <f>IF([1]Plan1!C96&lt;&gt;"",[1]Plan1!C96,"")</f>
        <v/>
      </c>
      <c r="F94" t="str">
        <f t="shared" ca="1" si="1"/>
        <v>OK</v>
      </c>
    </row>
    <row r="95" spans="1:6" x14ac:dyDescent="0.25">
      <c r="A95" s="5" t="str">
        <f>IF([1]Plan1!A97&lt;&gt;"",[1]Plan1!A97,"")</f>
        <v/>
      </c>
      <c r="B95" s="6" t="str">
        <f ca="1">IF([1]Plan1!B97&lt;&gt;"",[1]Plan1!B97,"")</f>
        <v/>
      </c>
      <c r="C95" s="5" t="str">
        <f>IF([1]Plan1!D97&lt;&gt;"",[1]Plan1!D97,"")</f>
        <v/>
      </c>
      <c r="D95" s="6" t="str">
        <f>IF([1]Plan1!E97&lt;&gt;"",[1]Plan1!E97,"")</f>
        <v/>
      </c>
      <c r="E95" s="6" t="str">
        <f>IF([1]Plan1!C97&lt;&gt;"",[1]Plan1!C97,"")</f>
        <v/>
      </c>
      <c r="F95" t="str">
        <f t="shared" ca="1" si="1"/>
        <v>OK</v>
      </c>
    </row>
    <row r="96" spans="1:6" x14ac:dyDescent="0.25">
      <c r="A96" s="5" t="str">
        <f>IF([1]Plan1!A98&lt;&gt;"",[1]Plan1!A98,"")</f>
        <v/>
      </c>
      <c r="B96" s="6" t="str">
        <f ca="1">IF([1]Plan1!B98&lt;&gt;"",[1]Plan1!B98,"")</f>
        <v/>
      </c>
      <c r="C96" s="5" t="str">
        <f>IF([1]Plan1!D98&lt;&gt;"",[1]Plan1!D98,"")</f>
        <v/>
      </c>
      <c r="D96" s="6" t="str">
        <f>IF([1]Plan1!E98&lt;&gt;"",[1]Plan1!E98,"")</f>
        <v/>
      </c>
      <c r="E96" s="6" t="str">
        <f>IF([1]Plan1!C98&lt;&gt;"",[1]Plan1!C98,"")</f>
        <v/>
      </c>
      <c r="F96" t="str">
        <f t="shared" ca="1" si="1"/>
        <v>OK</v>
      </c>
    </row>
    <row r="97" spans="1:6" x14ac:dyDescent="0.25">
      <c r="A97" s="5" t="str">
        <f>IF([1]Plan1!A99&lt;&gt;"",[1]Plan1!A99,"")</f>
        <v/>
      </c>
      <c r="B97" s="6" t="str">
        <f ca="1">IF([1]Plan1!B99&lt;&gt;"",[1]Plan1!B99,"")</f>
        <v/>
      </c>
      <c r="C97" s="5" t="str">
        <f>IF([1]Plan1!D99&lt;&gt;"",[1]Plan1!D99,"")</f>
        <v/>
      </c>
      <c r="D97" s="6" t="str">
        <f>IF([1]Plan1!E99&lt;&gt;"",[1]Plan1!E99,"")</f>
        <v/>
      </c>
      <c r="E97" s="6" t="str">
        <f>IF([1]Plan1!C99&lt;&gt;"",[1]Plan1!C99,"")</f>
        <v/>
      </c>
      <c r="F97" t="str">
        <f t="shared" ca="1" si="1"/>
        <v>OK</v>
      </c>
    </row>
    <row r="98" spans="1:6" x14ac:dyDescent="0.25">
      <c r="A98" s="5" t="str">
        <f>IF([1]Plan1!A100&lt;&gt;"",[1]Plan1!A100,"")</f>
        <v/>
      </c>
      <c r="B98" s="6" t="str">
        <f ca="1">IF([1]Plan1!B100&lt;&gt;"",[1]Plan1!B100,"")</f>
        <v/>
      </c>
      <c r="C98" s="5" t="str">
        <f>IF([1]Plan1!D100&lt;&gt;"",[1]Plan1!D100,"")</f>
        <v/>
      </c>
      <c r="D98" s="6" t="str">
        <f>IF([1]Plan1!E100&lt;&gt;"",[1]Plan1!E100,"")</f>
        <v/>
      </c>
      <c r="E98" s="6" t="str">
        <f>IF([1]Plan1!C100&lt;&gt;"",[1]Plan1!C100,"")</f>
        <v/>
      </c>
      <c r="F98" t="str">
        <f t="shared" ca="1" si="1"/>
        <v>OK</v>
      </c>
    </row>
    <row r="99" spans="1:6" x14ac:dyDescent="0.25">
      <c r="A99" s="5" t="str">
        <f>IF([1]Plan1!A101&lt;&gt;"",[1]Plan1!A101,"")</f>
        <v/>
      </c>
      <c r="B99" s="6" t="str">
        <f ca="1">IF([1]Plan1!B101&lt;&gt;"",[1]Plan1!B101,"")</f>
        <v/>
      </c>
      <c r="C99" s="5" t="str">
        <f>IF([1]Plan1!D101&lt;&gt;"",[1]Plan1!D101,"")</f>
        <v/>
      </c>
      <c r="D99" s="6" t="str">
        <f>IF([1]Plan1!E101&lt;&gt;"",[1]Plan1!E101,"")</f>
        <v/>
      </c>
      <c r="E99" s="6" t="str">
        <f>IF([1]Plan1!C101&lt;&gt;"",[1]Plan1!C101,"")</f>
        <v/>
      </c>
      <c r="F99" t="str">
        <f t="shared" ca="1" si="1"/>
        <v>OK</v>
      </c>
    </row>
    <row r="100" spans="1:6" x14ac:dyDescent="0.25">
      <c r="A100" s="5" t="str">
        <f>IF([1]Plan1!A102&lt;&gt;"",[1]Plan1!A102,"")</f>
        <v/>
      </c>
      <c r="B100" s="6" t="str">
        <f ca="1">IF([1]Plan1!B102&lt;&gt;"",[1]Plan1!B102,"")</f>
        <v/>
      </c>
      <c r="C100" s="5" t="str">
        <f>IF([1]Plan1!D102&lt;&gt;"",[1]Plan1!D102,"")</f>
        <v/>
      </c>
      <c r="D100" s="6" t="str">
        <f>IF([1]Plan1!E102&lt;&gt;"",[1]Plan1!E102,"")</f>
        <v/>
      </c>
      <c r="E100" s="6" t="str">
        <f>IF([1]Plan1!C102&lt;&gt;"",[1]Plan1!C102,"")</f>
        <v/>
      </c>
      <c r="F100" t="str">
        <f t="shared" ca="1" si="1"/>
        <v>OK</v>
      </c>
    </row>
    <row r="101" spans="1:6" x14ac:dyDescent="0.25">
      <c r="A101" s="5" t="str">
        <f>IF([1]Plan1!A103&lt;&gt;"",[1]Plan1!A103,"")</f>
        <v/>
      </c>
      <c r="B101" s="6" t="str">
        <f ca="1">IF([1]Plan1!B103&lt;&gt;"",[1]Plan1!B103,"")</f>
        <v/>
      </c>
      <c r="C101" s="5" t="str">
        <f>IF([1]Plan1!D103&lt;&gt;"",[1]Plan1!D103,"")</f>
        <v/>
      </c>
      <c r="D101" s="6" t="str">
        <f>IF([1]Plan1!E103&lt;&gt;"",[1]Plan1!E103,"")</f>
        <v/>
      </c>
      <c r="E101" s="6" t="str">
        <f>IF([1]Plan1!C103&lt;&gt;"",[1]Plan1!C103,"")</f>
        <v/>
      </c>
      <c r="F101" t="str">
        <f t="shared" ca="1" si="1"/>
        <v>OK</v>
      </c>
    </row>
    <row r="102" spans="1:6" x14ac:dyDescent="0.25">
      <c r="A102" s="5" t="str">
        <f>IF([1]Plan1!A104&lt;&gt;"",[1]Plan1!A104,"")</f>
        <v/>
      </c>
      <c r="B102" s="6" t="str">
        <f ca="1">IF([1]Plan1!B104&lt;&gt;"",[1]Plan1!B104,"")</f>
        <v/>
      </c>
      <c r="C102" s="5" t="str">
        <f>IF([1]Plan1!D104&lt;&gt;"",[1]Plan1!D104,"")</f>
        <v/>
      </c>
      <c r="D102" s="6" t="str">
        <f>IF([1]Plan1!E104&lt;&gt;"",[1]Plan1!E104,"")</f>
        <v/>
      </c>
      <c r="E102" s="6" t="str">
        <f>IF([1]Plan1!C104&lt;&gt;"",[1]Plan1!C104,"")</f>
        <v/>
      </c>
      <c r="F102" t="str">
        <f t="shared" ca="1" si="1"/>
        <v>OK</v>
      </c>
    </row>
    <row r="103" spans="1:6" x14ac:dyDescent="0.25">
      <c r="A103" s="5" t="str">
        <f>IF([1]Plan1!A105&lt;&gt;"",[1]Plan1!A105,"")</f>
        <v/>
      </c>
      <c r="B103" s="6" t="str">
        <f ca="1">IF([1]Plan1!B105&lt;&gt;"",[1]Plan1!B105,"")</f>
        <v/>
      </c>
      <c r="C103" s="5" t="str">
        <f>IF([1]Plan1!D105&lt;&gt;"",[1]Plan1!D105,"")</f>
        <v/>
      </c>
      <c r="D103" s="6" t="str">
        <f>IF([1]Plan1!E105&lt;&gt;"",[1]Plan1!E105,"")</f>
        <v/>
      </c>
      <c r="E103" s="6" t="str">
        <f>IF([1]Plan1!C105&lt;&gt;"",[1]Plan1!C105,"")</f>
        <v/>
      </c>
      <c r="F103" t="str">
        <f t="shared" ca="1" si="1"/>
        <v>OK</v>
      </c>
    </row>
    <row r="104" spans="1:6" x14ac:dyDescent="0.25">
      <c r="A104" s="5" t="str">
        <f>IF([1]Plan1!A106&lt;&gt;"",[1]Plan1!A106,"")</f>
        <v/>
      </c>
      <c r="B104" s="6" t="str">
        <f ca="1">IF([1]Plan1!B106&lt;&gt;"",[1]Plan1!B106,"")</f>
        <v/>
      </c>
      <c r="C104" s="5" t="str">
        <f>IF([1]Plan1!D106&lt;&gt;"",[1]Plan1!D106,"")</f>
        <v/>
      </c>
      <c r="D104" s="6" t="str">
        <f>IF([1]Plan1!E106&lt;&gt;"",[1]Plan1!E106,"")</f>
        <v/>
      </c>
      <c r="E104" s="6" t="str">
        <f>IF([1]Plan1!C106&lt;&gt;"",[1]Plan1!C106,"")</f>
        <v/>
      </c>
      <c r="F104" t="str">
        <f t="shared" ca="1" si="1"/>
        <v>OK</v>
      </c>
    </row>
    <row r="105" spans="1:6" x14ac:dyDescent="0.25">
      <c r="A105" s="5" t="str">
        <f>IF([1]Plan1!A107&lt;&gt;"",[1]Plan1!A107,"")</f>
        <v/>
      </c>
      <c r="B105" s="6" t="str">
        <f ca="1">IF([1]Plan1!B107&lt;&gt;"",[1]Plan1!B107,"")</f>
        <v/>
      </c>
      <c r="C105" s="5" t="str">
        <f>IF([1]Plan1!D107&lt;&gt;"",[1]Plan1!D107,"")</f>
        <v/>
      </c>
      <c r="D105" s="6" t="str">
        <f>IF([1]Plan1!E107&lt;&gt;"",[1]Plan1!E107,"")</f>
        <v/>
      </c>
      <c r="E105" s="6" t="str">
        <f>IF([1]Plan1!C107&lt;&gt;"",[1]Plan1!C107,"")</f>
        <v/>
      </c>
      <c r="F105" t="str">
        <f t="shared" ca="1" si="1"/>
        <v>OK</v>
      </c>
    </row>
    <row r="106" spans="1:6" x14ac:dyDescent="0.25">
      <c r="A106" s="5" t="str">
        <f>IF([1]Plan1!A108&lt;&gt;"",[1]Plan1!A108,"")</f>
        <v/>
      </c>
      <c r="B106" s="6" t="str">
        <f ca="1">IF([1]Plan1!B108&lt;&gt;"",[1]Plan1!B108,"")</f>
        <v/>
      </c>
      <c r="C106" s="5" t="str">
        <f>IF([1]Plan1!D108&lt;&gt;"",[1]Plan1!D108,"")</f>
        <v/>
      </c>
      <c r="D106" s="6" t="str">
        <f>IF([1]Plan1!E108&lt;&gt;"",[1]Plan1!E108,"")</f>
        <v/>
      </c>
      <c r="E106" s="6" t="str">
        <f>IF([1]Plan1!C108&lt;&gt;"",[1]Plan1!C108,"")</f>
        <v/>
      </c>
      <c r="F106" t="str">
        <f t="shared" ca="1" si="1"/>
        <v>OK</v>
      </c>
    </row>
    <row r="107" spans="1:6" x14ac:dyDescent="0.25">
      <c r="A107" s="5" t="str">
        <f>IF([1]Plan1!A109&lt;&gt;"",[1]Plan1!A109,"")</f>
        <v/>
      </c>
      <c r="B107" s="6" t="str">
        <f ca="1">IF([1]Plan1!B109&lt;&gt;"",[1]Plan1!B109,"")</f>
        <v/>
      </c>
      <c r="C107" s="5" t="str">
        <f>IF([1]Plan1!D109&lt;&gt;"",[1]Plan1!D109,"")</f>
        <v/>
      </c>
      <c r="D107" s="6" t="str">
        <f>IF([1]Plan1!E109&lt;&gt;"",[1]Plan1!E109,"")</f>
        <v/>
      </c>
      <c r="E107" s="6" t="str">
        <f>IF([1]Plan1!C109&lt;&gt;"",[1]Plan1!C109,"")</f>
        <v/>
      </c>
      <c r="F107" t="str">
        <f t="shared" ca="1" si="1"/>
        <v>OK</v>
      </c>
    </row>
    <row r="108" spans="1:6" x14ac:dyDescent="0.25">
      <c r="A108" s="1" t="str">
        <f>IF([1]Plan1!A116&lt;&gt;"",[1]Plan1!A116,"")</f>
        <v/>
      </c>
      <c r="B108" s="2" t="str">
        <f ca="1">IF([1]Plan1!B116&lt;&gt;"",[1]Plan1!B116,"")</f>
        <v/>
      </c>
      <c r="C108" s="1" t="str">
        <f>IF([1]Plan1!D116&lt;&gt;"",[1]Plan1!D116,"")</f>
        <v/>
      </c>
      <c r="D108" s="2" t="str">
        <f>IF([1]Plan1!E116&lt;&gt;"",[1]Plan1!E116,"")</f>
        <v/>
      </c>
    </row>
  </sheetData>
  <autoFilter ref="A2:F108" xr:uid="{00000000-0001-0000-0000-000000000000}">
    <filterColumn colId="4">
      <filters blank="1"/>
    </filterColumn>
  </autoFilter>
  <mergeCells count="1">
    <mergeCell ref="A1:D1"/>
  </mergeCells>
  <conditionalFormatting sqref="E2 A3:E107">
    <cfRule type="expression" dxfId="4" priority="1">
      <formula>$F2="ATRASO"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F51"/>
  <sheetViews>
    <sheetView tabSelected="1" workbookViewId="0">
      <selection activeCell="I10" sqref="I10"/>
    </sheetView>
  </sheetViews>
  <sheetFormatPr defaultRowHeight="15" x14ac:dyDescent="0.25"/>
  <cols>
    <col min="1" max="1" width="21.140625" customWidth="1"/>
    <col min="2" max="2" width="18" customWidth="1"/>
    <col min="3" max="3" width="21.28515625" customWidth="1"/>
    <col min="4" max="4" width="29.28515625" customWidth="1"/>
    <col min="5" max="5" width="9.140625" hidden="1" customWidth="1"/>
    <col min="6" max="6" width="10" customWidth="1"/>
  </cols>
  <sheetData>
    <row r="1" spans="1:6" ht="30" customHeight="1" x14ac:dyDescent="0.25">
      <c r="A1" s="3" t="s">
        <v>1</v>
      </c>
      <c r="B1" s="4" t="s">
        <v>2</v>
      </c>
      <c r="C1" s="3" t="s">
        <v>3</v>
      </c>
      <c r="D1" s="4" t="s">
        <v>4</v>
      </c>
      <c r="F1" s="4" t="s">
        <v>22</v>
      </c>
    </row>
    <row r="2" spans="1:6" ht="30" customHeight="1" x14ac:dyDescent="0.25">
      <c r="A2" s="5" t="s">
        <v>5</v>
      </c>
      <c r="B2" s="6">
        <v>44757.710403356483</v>
      </c>
      <c r="C2" s="5" t="s">
        <v>6</v>
      </c>
      <c r="D2" s="6" t="s">
        <v>7</v>
      </c>
      <c r="E2" t="str">
        <f>IFERROR(VLOOKUP(A2,[2]Principal!$A:$B,2,0),"")</f>
        <v>G:\PUBLICO\ANTONIO PCP\imagens\Screenshot_317.bmp</v>
      </c>
      <c r="F2" s="9"/>
    </row>
    <row r="3" spans="1:6" ht="30" customHeight="1" x14ac:dyDescent="0.25">
      <c r="A3" s="5" t="s">
        <v>8</v>
      </c>
      <c r="B3" s="6">
        <v>44757.710567013892</v>
      </c>
      <c r="C3" s="5" t="s">
        <v>6</v>
      </c>
      <c r="D3" s="6" t="s">
        <v>7</v>
      </c>
      <c r="E3" t="str">
        <f>IFERROR(VLOOKUP(A3,[2]Principal!$A:$B,2,0),"")</f>
        <v>G:\PUBLICO\ANTONIO PCP\imagens\Screenshot_33.bmp</v>
      </c>
      <c r="F3" s="9"/>
    </row>
    <row r="4" spans="1:6" ht="30" customHeight="1" x14ac:dyDescent="0.25">
      <c r="A4" s="5" t="s">
        <v>9</v>
      </c>
      <c r="B4" s="6">
        <v>44757.712480324073</v>
      </c>
      <c r="C4" s="5" t="s">
        <v>6</v>
      </c>
      <c r="D4" s="6" t="s">
        <v>7</v>
      </c>
      <c r="E4" t="str">
        <f>IFERROR(VLOOKUP(A4,[2]Principal!$A:$B,2,0),"")</f>
        <v/>
      </c>
      <c r="F4" s="9"/>
    </row>
    <row r="5" spans="1:6" ht="30" customHeight="1" x14ac:dyDescent="0.25">
      <c r="A5" s="5" t="s">
        <v>10</v>
      </c>
      <c r="B5" s="6">
        <v>44776.407489930556</v>
      </c>
      <c r="C5" s="5" t="s">
        <v>6</v>
      </c>
      <c r="D5" s="6" t="s">
        <v>7</v>
      </c>
      <c r="E5" t="str">
        <f>IFERROR(VLOOKUP(A5,[2]Principal!$A:$B,2,0),"")</f>
        <v>G:\PUBLICO\ANTONIO PCP\imagens\Screenshot_344.bmp</v>
      </c>
      <c r="F5" s="9"/>
    </row>
    <row r="6" spans="1:6" ht="30" customHeight="1" x14ac:dyDescent="0.25">
      <c r="A6" s="5" t="s">
        <v>11</v>
      </c>
      <c r="B6" s="6">
        <v>44776.407976967595</v>
      </c>
      <c r="C6" s="5" t="s">
        <v>6</v>
      </c>
      <c r="D6" s="6" t="s">
        <v>7</v>
      </c>
      <c r="E6" t="str">
        <f>IFERROR(VLOOKUP(A6,[2]Principal!$A:$B,2,0),"")</f>
        <v/>
      </c>
      <c r="F6" s="9"/>
    </row>
    <row r="7" spans="1:6" ht="30" customHeight="1" x14ac:dyDescent="0.25">
      <c r="A7" s="5" t="s">
        <v>12</v>
      </c>
      <c r="B7" s="6">
        <v>44802.3975244213</v>
      </c>
      <c r="C7" s="5" t="s">
        <v>6</v>
      </c>
      <c r="D7" s="6" t="s">
        <v>7</v>
      </c>
      <c r="E7" t="str">
        <f>IFERROR(VLOOKUP(A7,[2]Principal!$A:$B,2,0),"")</f>
        <v>G:\PUBLICO\ANTONIO PCP\imagens\Screenshot_347.bmp</v>
      </c>
      <c r="F7" s="9"/>
    </row>
    <row r="8" spans="1:6" ht="30" customHeight="1" x14ac:dyDescent="0.25">
      <c r="A8" s="5" t="s">
        <v>13</v>
      </c>
      <c r="B8" s="6">
        <v>44831.659344675929</v>
      </c>
      <c r="C8" s="5">
        <v>20</v>
      </c>
      <c r="D8" s="6">
        <v>44813</v>
      </c>
      <c r="E8" t="str">
        <f>IFERROR(VLOOKUP(A8,[2]Principal!$A:$B,2,0),"")</f>
        <v/>
      </c>
      <c r="F8" s="9"/>
    </row>
    <row r="9" spans="1:6" ht="30" customHeight="1" x14ac:dyDescent="0.25">
      <c r="A9" s="5" t="s">
        <v>14</v>
      </c>
      <c r="B9" s="6">
        <v>44832.692451157411</v>
      </c>
      <c r="C9" s="5">
        <v>5000</v>
      </c>
      <c r="D9" s="6">
        <v>44839</v>
      </c>
      <c r="E9" t="str">
        <f>IFERROR(VLOOKUP(A9,[2]Principal!$A:$B,2,0),"")</f>
        <v>G:\PUBLICO\ANTONIO PCP\imagens\Screenshot_83.bmp</v>
      </c>
      <c r="F9" s="9"/>
    </row>
    <row r="10" spans="1:6" ht="30" customHeight="1" x14ac:dyDescent="0.25">
      <c r="A10" s="5" t="s">
        <v>15</v>
      </c>
      <c r="B10" s="6">
        <v>44835.437239236111</v>
      </c>
      <c r="C10" s="5">
        <v>100</v>
      </c>
      <c r="D10" s="6">
        <v>44834</v>
      </c>
      <c r="E10" t="str">
        <f>IFERROR(VLOOKUP(A10,[2]Principal!$A:$B,2,0),"")</f>
        <v>G:\PUBLICO\ANTONIO PCP\imagens\Screenshot_350.bmp</v>
      </c>
      <c r="F10" s="9"/>
    </row>
    <row r="11" spans="1:6" ht="30" customHeight="1" x14ac:dyDescent="0.25">
      <c r="A11" s="5" t="s">
        <v>16</v>
      </c>
      <c r="B11" s="6">
        <v>44837.512801851852</v>
      </c>
      <c r="C11" s="5">
        <v>2000</v>
      </c>
      <c r="D11" s="6">
        <v>44839</v>
      </c>
      <c r="E11" t="str">
        <f>IFERROR(VLOOKUP(A11,[2]Principal!$A:$B,2,0),"")</f>
        <v/>
      </c>
      <c r="F11" s="9"/>
    </row>
    <row r="12" spans="1:6" ht="30" customHeight="1" x14ac:dyDescent="0.25">
      <c r="A12" s="5" t="s">
        <v>17</v>
      </c>
      <c r="B12" s="6">
        <v>44839.435153356484</v>
      </c>
      <c r="C12" s="5">
        <v>10000</v>
      </c>
      <c r="D12" s="6">
        <v>44847</v>
      </c>
      <c r="E12" t="str">
        <f>IFERROR(VLOOKUP(A12,[2]Principal!$A:$B,2,0),"")</f>
        <v>G:\PUBLICO\ANTONIO PCP\imagens\Screenshot_216.bmp</v>
      </c>
      <c r="F12" s="9"/>
    </row>
    <row r="13" spans="1:6" ht="30" customHeight="1" x14ac:dyDescent="0.25">
      <c r="A13" s="5" t="s">
        <v>18</v>
      </c>
      <c r="B13" s="6">
        <v>44840.712055902775</v>
      </c>
      <c r="C13" s="5">
        <v>515</v>
      </c>
      <c r="D13" s="6">
        <v>44834</v>
      </c>
      <c r="E13" t="str">
        <f>IFERROR(VLOOKUP(A13,[2]Principal!$A:$B,2,0),"")</f>
        <v>G:\PUBLICO\ANTONIO PCP\imagens\Screenshot_353.bmp</v>
      </c>
      <c r="F13" s="9"/>
    </row>
    <row r="14" spans="1:6" ht="30" customHeight="1" x14ac:dyDescent="0.25">
      <c r="A14" s="5" t="s">
        <v>19</v>
      </c>
      <c r="B14" s="6">
        <v>44840.712865393521</v>
      </c>
      <c r="C14" s="5">
        <v>24200</v>
      </c>
      <c r="D14" s="6">
        <v>44852</v>
      </c>
      <c r="E14" t="str">
        <f>IFERROR(VLOOKUP(A14,[2]Principal!$A:$B,2,0),"")</f>
        <v>G:\PUBLICO\ANTONIO PCP\imagens\Screenshot_89.bmp</v>
      </c>
      <c r="F14" s="9"/>
    </row>
    <row r="15" spans="1:6" ht="30" customHeight="1" x14ac:dyDescent="0.25">
      <c r="A15" s="5" t="s">
        <v>20</v>
      </c>
      <c r="B15" s="6">
        <v>44840.713646990742</v>
      </c>
      <c r="C15" s="5">
        <v>30000</v>
      </c>
      <c r="D15" s="6" t="s">
        <v>21</v>
      </c>
      <c r="E15" t="str">
        <f>IFERROR(VLOOKUP(A15,[2]Principal!$A:$B,2,0),"")</f>
        <v>G:\PUBLICO\ANTONIO PCP\imagens\Screenshot_40.bmp</v>
      </c>
      <c r="F15" s="9"/>
    </row>
    <row r="16" spans="1:6" ht="30" customHeight="1" x14ac:dyDescent="0.25">
      <c r="A16" s="5"/>
      <c r="B16" s="6"/>
      <c r="C16" s="5"/>
      <c r="D16" s="6"/>
      <c r="E16" t="str">
        <f>IFERROR(VLOOKUP(A16,[2]Principal!$A:$B,2,0),"")</f>
        <v/>
      </c>
      <c r="F16" s="9"/>
    </row>
    <row r="17" spans="1:6" ht="30" customHeight="1" x14ac:dyDescent="0.25">
      <c r="A17" s="5"/>
      <c r="B17" s="6"/>
      <c r="C17" s="5"/>
      <c r="D17" s="6"/>
      <c r="E17" t="str">
        <f>IFERROR(VLOOKUP(A17,[2]Principal!$A:$B,2,0),"")</f>
        <v/>
      </c>
      <c r="F17" s="9"/>
    </row>
    <row r="18" spans="1:6" ht="30" customHeight="1" x14ac:dyDescent="0.25">
      <c r="A18" s="5"/>
      <c r="B18" s="6"/>
      <c r="C18" s="5"/>
      <c r="D18" s="6"/>
      <c r="E18" t="str">
        <f>IFERROR(VLOOKUP(A18,[2]Principal!$A:$B,2,0),"")</f>
        <v/>
      </c>
      <c r="F18" s="9"/>
    </row>
    <row r="19" spans="1:6" ht="30" customHeight="1" x14ac:dyDescent="0.25">
      <c r="A19" s="5"/>
      <c r="B19" s="6"/>
      <c r="C19" s="5"/>
      <c r="D19" s="6"/>
      <c r="E19" t="str">
        <f>IFERROR(VLOOKUP(A19,[2]Principal!$A:$B,2,0),"")</f>
        <v/>
      </c>
      <c r="F19" s="9"/>
    </row>
    <row r="20" spans="1:6" ht="30" customHeight="1" x14ac:dyDescent="0.25">
      <c r="A20" s="5"/>
      <c r="B20" s="6"/>
      <c r="C20" s="5"/>
      <c r="D20" s="6"/>
      <c r="E20" t="str">
        <f>IFERROR(VLOOKUP(A20,[2]Principal!$A:$B,2,0),"")</f>
        <v/>
      </c>
      <c r="F20" s="9"/>
    </row>
    <row r="21" spans="1:6" ht="30" customHeight="1" x14ac:dyDescent="0.25">
      <c r="A21" s="5"/>
      <c r="B21" s="6"/>
      <c r="C21" s="5"/>
      <c r="D21" s="6"/>
      <c r="E21" t="str">
        <f>IFERROR(VLOOKUP(A21,[2]Principal!$A:$B,2,0),"")</f>
        <v/>
      </c>
      <c r="F21" s="9"/>
    </row>
    <row r="22" spans="1:6" ht="30" customHeight="1" x14ac:dyDescent="0.25">
      <c r="A22" s="5"/>
      <c r="B22" s="6"/>
      <c r="C22" s="5"/>
      <c r="D22" s="6"/>
      <c r="E22" t="str">
        <f>IFERROR(VLOOKUP(A22,[2]Principal!$A:$B,2,0),"")</f>
        <v/>
      </c>
      <c r="F22" s="9"/>
    </row>
    <row r="23" spans="1:6" ht="30" customHeight="1" x14ac:dyDescent="0.25">
      <c r="A23" s="5"/>
      <c r="B23" s="6"/>
      <c r="C23" s="5"/>
      <c r="D23" s="6"/>
      <c r="E23" t="str">
        <f>IFERROR(VLOOKUP(A23,[2]Principal!$A:$B,2,0),"")</f>
        <v/>
      </c>
      <c r="F23" s="9"/>
    </row>
    <row r="24" spans="1:6" ht="30" customHeight="1" x14ac:dyDescent="0.25">
      <c r="A24" s="5"/>
      <c r="B24" s="6"/>
      <c r="C24" s="5"/>
      <c r="D24" s="6"/>
      <c r="E24" t="str">
        <f>IFERROR(VLOOKUP(A24,[2]Principal!$A:$B,2,0),"")</f>
        <v/>
      </c>
      <c r="F24" s="9"/>
    </row>
    <row r="25" spans="1:6" ht="30" customHeight="1" x14ac:dyDescent="0.25">
      <c r="A25" s="5"/>
      <c r="B25" s="6"/>
      <c r="C25" s="5"/>
      <c r="D25" s="6"/>
      <c r="E25" t="str">
        <f>IFERROR(VLOOKUP(A25,[2]Principal!$A:$B,2,0),"")</f>
        <v/>
      </c>
      <c r="F25" s="9"/>
    </row>
    <row r="26" spans="1:6" ht="30" customHeight="1" x14ac:dyDescent="0.25">
      <c r="A26" s="5"/>
      <c r="B26" s="6"/>
      <c r="C26" s="5"/>
      <c r="D26" s="6"/>
      <c r="E26" t="str">
        <f>IFERROR(VLOOKUP(A26,[2]Principal!$A:$B,2,0),"")</f>
        <v/>
      </c>
      <c r="F26" s="9"/>
    </row>
    <row r="27" spans="1:6" ht="30" customHeight="1" x14ac:dyDescent="0.25">
      <c r="E27" t="str">
        <f>IFERROR(VLOOKUP(A27,[2]Principal!$A:$B,2,0),"")</f>
        <v/>
      </c>
    </row>
    <row r="28" spans="1:6" x14ac:dyDescent="0.25">
      <c r="E28" t="str">
        <f>IFERROR(VLOOKUP(A28,[2]Principal!$A:$B,2,0),"")</f>
        <v/>
      </c>
    </row>
    <row r="29" spans="1:6" x14ac:dyDescent="0.25">
      <c r="E29" t="str">
        <f>IFERROR(VLOOKUP(A29,[2]Principal!$A:$B,2,0),"")</f>
        <v/>
      </c>
    </row>
    <row r="30" spans="1:6" x14ac:dyDescent="0.25">
      <c r="E30" t="str">
        <f>IFERROR(VLOOKUP(A30,[2]Principal!$A:$B,2,0),"")</f>
        <v/>
      </c>
    </row>
    <row r="31" spans="1:6" x14ac:dyDescent="0.25">
      <c r="E31" t="str">
        <f>IFERROR(VLOOKUP(A31,[2]Principal!$A:$B,2,0),"")</f>
        <v/>
      </c>
    </row>
    <row r="32" spans="1:6" x14ac:dyDescent="0.25">
      <c r="E32" t="str">
        <f>IFERROR(VLOOKUP(A32,[2]Principal!$A:$B,2,0),"")</f>
        <v/>
      </c>
    </row>
    <row r="33" spans="5:5" x14ac:dyDescent="0.25">
      <c r="E33" t="str">
        <f>IFERROR(VLOOKUP(A33,[2]Principal!$A:$B,2,0),"")</f>
        <v/>
      </c>
    </row>
    <row r="34" spans="5:5" x14ac:dyDescent="0.25">
      <c r="E34" t="str">
        <f>IFERROR(VLOOKUP(A34,[2]Principal!$A:$B,2,0),"")</f>
        <v/>
      </c>
    </row>
    <row r="35" spans="5:5" x14ac:dyDescent="0.25">
      <c r="E35" t="str">
        <f>IFERROR(VLOOKUP(A35,[2]Principal!$A:$B,2,0),"")</f>
        <v/>
      </c>
    </row>
    <row r="36" spans="5:5" x14ac:dyDescent="0.25">
      <c r="E36" t="str">
        <f>IFERROR(VLOOKUP(A36,[2]Principal!$A:$B,2,0),"")</f>
        <v/>
      </c>
    </row>
    <row r="37" spans="5:5" x14ac:dyDescent="0.25">
      <c r="E37" t="str">
        <f>IFERROR(VLOOKUP(A37,[2]Principal!$A:$B,2,0),"")</f>
        <v/>
      </c>
    </row>
    <row r="38" spans="5:5" x14ac:dyDescent="0.25">
      <c r="E38" t="str">
        <f>IFERROR(VLOOKUP(A38,[2]Principal!$A:$B,2,0),"")</f>
        <v/>
      </c>
    </row>
    <row r="39" spans="5:5" x14ac:dyDescent="0.25">
      <c r="E39" t="str">
        <f>IFERROR(VLOOKUP(A39,[2]Principal!$A:$B,2,0),"")</f>
        <v/>
      </c>
    </row>
    <row r="40" spans="5:5" x14ac:dyDescent="0.25">
      <c r="E40" t="str">
        <f>IFERROR(VLOOKUP(A40,[2]Principal!$A:$B,2,0),"")</f>
        <v/>
      </c>
    </row>
    <row r="41" spans="5:5" x14ac:dyDescent="0.25">
      <c r="E41" t="str">
        <f>IFERROR(VLOOKUP(A41,[2]Principal!$A:$B,2,0),"")</f>
        <v/>
      </c>
    </row>
    <row r="42" spans="5:5" x14ac:dyDescent="0.25">
      <c r="E42" t="str">
        <f>IFERROR(VLOOKUP(A42,[2]Principal!$A:$B,2,0),"")</f>
        <v/>
      </c>
    </row>
    <row r="43" spans="5:5" x14ac:dyDescent="0.25">
      <c r="E43" t="str">
        <f>IFERROR(VLOOKUP(A43,[2]Principal!$A:$B,2,0),"")</f>
        <v/>
      </c>
    </row>
    <row r="44" spans="5:5" x14ac:dyDescent="0.25">
      <c r="E44" t="str">
        <f>IFERROR(VLOOKUP(A44,[2]Principal!$A:$B,2,0),"")</f>
        <v/>
      </c>
    </row>
    <row r="45" spans="5:5" x14ac:dyDescent="0.25">
      <c r="E45" t="str">
        <f>IFERROR(VLOOKUP(A45,[2]Principal!$A:$B,2,0),"")</f>
        <v/>
      </c>
    </row>
    <row r="46" spans="5:5" x14ac:dyDescent="0.25">
      <c r="E46" t="str">
        <f>IFERROR(VLOOKUP(A46,[2]Principal!$A:$B,2,0),"")</f>
        <v/>
      </c>
    </row>
    <row r="47" spans="5:5" x14ac:dyDescent="0.25">
      <c r="E47" t="str">
        <f>IFERROR(VLOOKUP(A47,[2]Principal!$A:$B,2,0),"")</f>
        <v/>
      </c>
    </row>
    <row r="48" spans="5:5" x14ac:dyDescent="0.25">
      <c r="E48" t="str">
        <f>IFERROR(VLOOKUP(A48,[2]Principal!$A:$B,2,0),"")</f>
        <v/>
      </c>
    </row>
    <row r="49" spans="5:5" x14ac:dyDescent="0.25">
      <c r="E49" t="str">
        <f>IFERROR(VLOOKUP(A49,[2]Principal!$A:$B,2,0),"")</f>
        <v/>
      </c>
    </row>
    <row r="50" spans="5:5" x14ac:dyDescent="0.25">
      <c r="E50" t="str">
        <f>IFERROR(VLOOKUP(A50,[2]Principal!$A:$B,2,0),"")</f>
        <v/>
      </c>
    </row>
    <row r="51" spans="5:5" x14ac:dyDescent="0.25">
      <c r="E51" t="str">
        <f>IFERROR(VLOOKUP(A51,[2]Principal!$A:$B,2,0),"")</f>
        <v/>
      </c>
    </row>
  </sheetData>
  <conditionalFormatting sqref="A19:D26">
    <cfRule type="expression" dxfId="3" priority="11">
      <formula>$F19="ATRASO"</formula>
    </cfRule>
  </conditionalFormatting>
  <conditionalFormatting sqref="A17:D18">
    <cfRule type="expression" dxfId="2" priority="5">
      <formula>$F17="ATRASO"</formula>
    </cfRule>
  </conditionalFormatting>
  <conditionalFormatting sqref="A16:D16">
    <cfRule type="expression" dxfId="1" priority="4">
      <formula>$F16="ATRASO"</formula>
    </cfRule>
  </conditionalFormatting>
  <conditionalFormatting sqref="A2:D15">
    <cfRule type="expression" dxfId="0" priority="1">
      <formula>$F2="ATRASO"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47" r:id="rId3" name="imgfoto">
          <controlPr defaultSize="0" autoLine="0" r:id="rId4">
            <anchor moveWithCells="1">
              <from>
                <xdr:col>5</xdr:col>
                <xdr:colOff>38100</xdr:colOff>
                <xdr:row>1</xdr:row>
                <xdr:rowOff>19050</xdr:rowOff>
              </from>
              <to>
                <xdr:col>5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3" name="imgfoto"/>
      </mc:Fallback>
    </mc:AlternateContent>
    <mc:AlternateContent xmlns:mc="http://schemas.openxmlformats.org/markup-compatibility/2006">
      <mc:Choice Requires="x14">
        <control shapeId="1048" r:id="rId5" name="Image1">
          <controlPr defaultSize="0" autoLine="0" r:id="rId6">
            <anchor moveWithCells="1">
              <from>
                <xdr:col>5</xdr:col>
                <xdr:colOff>47625</xdr:colOff>
                <xdr:row>2</xdr:row>
                <xdr:rowOff>9525</xdr:rowOff>
              </from>
              <to>
                <xdr:col>5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5" name="Image1"/>
      </mc:Fallback>
    </mc:AlternateContent>
    <mc:AlternateContent xmlns:mc="http://schemas.openxmlformats.org/markup-compatibility/2006">
      <mc:Choice Requires="x14">
        <control shapeId="1049" r:id="rId7" name="Image2">
          <controlPr defaultSize="0" autoLine="0" r:id="rId8">
            <anchor moveWithCells="1">
              <from>
                <xdr:col>5</xdr:col>
                <xdr:colOff>57150</xdr:colOff>
                <xdr:row>3</xdr:row>
                <xdr:rowOff>9525</xdr:rowOff>
              </from>
              <to>
                <xdr:col>5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7" name="Image2"/>
      </mc:Fallback>
    </mc:AlternateContent>
    <mc:AlternateContent xmlns:mc="http://schemas.openxmlformats.org/markup-compatibility/2006">
      <mc:Choice Requires="x14">
        <control shapeId="1050" r:id="rId9" name="Image3">
          <controlPr defaultSize="0" autoLine="0" r:id="rId10">
            <anchor moveWithCells="1">
              <from>
                <xdr:col>5</xdr:col>
                <xdr:colOff>57150</xdr:colOff>
                <xdr:row>4</xdr:row>
                <xdr:rowOff>19050</xdr:rowOff>
              </from>
              <to>
                <xdr:col>5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9" name="Image3"/>
      </mc:Fallback>
    </mc:AlternateContent>
    <mc:AlternateContent xmlns:mc="http://schemas.openxmlformats.org/markup-compatibility/2006">
      <mc:Choice Requires="x14">
        <control shapeId="1051" r:id="rId11" name="Image4">
          <controlPr defaultSize="0" autoLine="0" r:id="rId8">
            <anchor moveWithCells="1">
              <from>
                <xdr:col>5</xdr:col>
                <xdr:colOff>57150</xdr:colOff>
                <xdr:row>5</xdr:row>
                <xdr:rowOff>9525</xdr:rowOff>
              </from>
              <to>
                <xdr:col>5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11" name="Image4"/>
      </mc:Fallback>
    </mc:AlternateContent>
    <mc:AlternateContent xmlns:mc="http://schemas.openxmlformats.org/markup-compatibility/2006">
      <mc:Choice Requires="x14">
        <control shapeId="1052" r:id="rId12" name="Image5">
          <controlPr defaultSize="0" autoLine="0" r:id="rId13">
            <anchor moveWithCells="1">
              <from>
                <xdr:col>5</xdr:col>
                <xdr:colOff>57150</xdr:colOff>
                <xdr:row>6</xdr:row>
                <xdr:rowOff>9525</xdr:rowOff>
              </from>
              <to>
                <xdr:col>5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12" name="Image5"/>
      </mc:Fallback>
    </mc:AlternateContent>
    <mc:AlternateContent xmlns:mc="http://schemas.openxmlformats.org/markup-compatibility/2006">
      <mc:Choice Requires="x14">
        <control shapeId="1053" r:id="rId14" name="Image6">
          <controlPr defaultSize="0" autoLine="0" r:id="rId8">
            <anchor moveWithCells="1">
              <from>
                <xdr:col>5</xdr:col>
                <xdr:colOff>47625</xdr:colOff>
                <xdr:row>7</xdr:row>
                <xdr:rowOff>19050</xdr:rowOff>
              </from>
              <to>
                <xdr:col>5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14" name="Image6"/>
      </mc:Fallback>
    </mc:AlternateContent>
    <mc:AlternateContent xmlns:mc="http://schemas.openxmlformats.org/markup-compatibility/2006">
      <mc:Choice Requires="x14">
        <control shapeId="1054" r:id="rId15" name="Image7">
          <controlPr defaultSize="0" autoLine="0" r:id="rId16">
            <anchor moveWithCells="1">
              <from>
                <xdr:col>5</xdr:col>
                <xdr:colOff>47625</xdr:colOff>
                <xdr:row>8</xdr:row>
                <xdr:rowOff>19050</xdr:rowOff>
              </from>
              <to>
                <xdr:col>5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15" name="Image7"/>
      </mc:Fallback>
    </mc:AlternateContent>
    <mc:AlternateContent xmlns:mc="http://schemas.openxmlformats.org/markup-compatibility/2006">
      <mc:Choice Requires="x14">
        <control shapeId="1055" r:id="rId17" name="Image8">
          <controlPr defaultSize="0" autoLine="0" r:id="rId18">
            <anchor moveWithCells="1">
              <from>
                <xdr:col>5</xdr:col>
                <xdr:colOff>47625</xdr:colOff>
                <xdr:row>9</xdr:row>
                <xdr:rowOff>19050</xdr:rowOff>
              </from>
              <to>
                <xdr:col>5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17" name="Image8"/>
      </mc:Fallback>
    </mc:AlternateContent>
    <mc:AlternateContent xmlns:mc="http://schemas.openxmlformats.org/markup-compatibility/2006">
      <mc:Choice Requires="x14">
        <control shapeId="1056" r:id="rId19" name="Image9">
          <controlPr defaultSize="0" autoLine="0" r:id="rId8">
            <anchor moveWithCells="1">
              <from>
                <xdr:col>5</xdr:col>
                <xdr:colOff>47625</xdr:colOff>
                <xdr:row>10</xdr:row>
                <xdr:rowOff>19050</xdr:rowOff>
              </from>
              <to>
                <xdr:col>5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19" name="Image9"/>
      </mc:Fallback>
    </mc:AlternateContent>
    <mc:AlternateContent xmlns:mc="http://schemas.openxmlformats.org/markup-compatibility/2006">
      <mc:Choice Requires="x14">
        <control shapeId="1057" r:id="rId20" name="Image10">
          <controlPr defaultSize="0" autoLine="0" r:id="rId21">
            <anchor moveWithCells="1">
              <from>
                <xdr:col>5</xdr:col>
                <xdr:colOff>47625</xdr:colOff>
                <xdr:row>11</xdr:row>
                <xdr:rowOff>19050</xdr:rowOff>
              </from>
              <to>
                <xdr:col>5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0" name="Image10"/>
      </mc:Fallback>
    </mc:AlternateContent>
    <mc:AlternateContent xmlns:mc="http://schemas.openxmlformats.org/markup-compatibility/2006">
      <mc:Choice Requires="x14">
        <control shapeId="1058" r:id="rId22" name="Image12">
          <controlPr defaultSize="0" autoLine="0" r:id="rId23">
            <anchor moveWithCells="1">
              <from>
                <xdr:col>5</xdr:col>
                <xdr:colOff>47625</xdr:colOff>
                <xdr:row>12</xdr:row>
                <xdr:rowOff>19050</xdr:rowOff>
              </from>
              <to>
                <xdr:col>5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2" name="Image12"/>
      </mc:Fallback>
    </mc:AlternateContent>
    <mc:AlternateContent xmlns:mc="http://schemas.openxmlformats.org/markup-compatibility/2006">
      <mc:Choice Requires="x14">
        <control shapeId="1060" r:id="rId24" name="Image18">
          <controlPr defaultSize="0" autoLine="0" r:id="rId25">
            <anchor moveWithCells="1">
              <from>
                <xdr:col>5</xdr:col>
                <xdr:colOff>47625</xdr:colOff>
                <xdr:row>13</xdr:row>
                <xdr:rowOff>28575</xdr:rowOff>
              </from>
              <to>
                <xdr:col>5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4" name="Image18"/>
      </mc:Fallback>
    </mc:AlternateContent>
    <mc:AlternateContent xmlns:mc="http://schemas.openxmlformats.org/markup-compatibility/2006">
      <mc:Choice Requires="x14">
        <control shapeId="1061" r:id="rId26" name="Image19">
          <controlPr defaultSize="0" autoLine="0" r:id="rId27">
            <anchor moveWithCells="1">
              <from>
                <xdr:col>5</xdr:col>
                <xdr:colOff>47625</xdr:colOff>
                <xdr:row>14</xdr:row>
                <xdr:rowOff>28575</xdr:rowOff>
              </from>
              <to>
                <xdr:col>5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6" name="Image19"/>
      </mc:Fallback>
    </mc:AlternateContent>
    <mc:AlternateContent xmlns:mc="http://schemas.openxmlformats.org/markup-compatibility/2006">
      <mc:Choice Requires="x14">
        <control shapeId="1062" r:id="rId28" name="Image20">
          <controlPr defaultSize="0" autoLine="0" r:id="rId8">
            <anchor moveWithCells="1">
              <from>
                <xdr:col>5</xdr:col>
                <xdr:colOff>47625</xdr:colOff>
                <xdr:row>15</xdr:row>
                <xdr:rowOff>28575</xdr:rowOff>
              </from>
              <to>
                <xdr:col>5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28" name="Image20"/>
      </mc:Fallback>
    </mc:AlternateContent>
    <mc:AlternateContent xmlns:mc="http://schemas.openxmlformats.org/markup-compatibility/2006">
      <mc:Choice Requires="x14">
        <control shapeId="1063" r:id="rId29" name="Image21">
          <controlPr defaultSize="0" autoLine="0" r:id="rId8">
            <anchor moveWithCells="1">
              <from>
                <xdr:col>5</xdr:col>
                <xdr:colOff>47625</xdr:colOff>
                <xdr:row>16</xdr:row>
                <xdr:rowOff>28575</xdr:rowOff>
              </from>
              <to>
                <xdr:col>5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29" name="Image21"/>
      </mc:Fallback>
    </mc:AlternateContent>
    <mc:AlternateContent xmlns:mc="http://schemas.openxmlformats.org/markup-compatibility/2006">
      <mc:Choice Requires="x14">
        <control shapeId="1064" r:id="rId30" name="Image22">
          <controlPr defaultSize="0" autoLine="0" r:id="rId8">
            <anchor moveWithCells="1">
              <from>
                <xdr:col>5</xdr:col>
                <xdr:colOff>47625</xdr:colOff>
                <xdr:row>17</xdr:row>
                <xdr:rowOff>28575</xdr:rowOff>
              </from>
              <to>
                <xdr:col>5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30" name="Image22"/>
      </mc:Fallback>
    </mc:AlternateContent>
    <mc:AlternateContent xmlns:mc="http://schemas.openxmlformats.org/markup-compatibility/2006">
      <mc:Choice Requires="x14">
        <control shapeId="1065" r:id="rId31" name="Image13">
          <controlPr defaultSize="0" autoLine="0" r:id="rId8">
            <anchor moveWithCells="1">
              <from>
                <xdr:col>5</xdr:col>
                <xdr:colOff>47625</xdr:colOff>
                <xdr:row>18</xdr:row>
                <xdr:rowOff>19050</xdr:rowOff>
              </from>
              <to>
                <xdr:col>5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31" name="Image13"/>
      </mc:Fallback>
    </mc:AlternateContent>
    <mc:AlternateContent xmlns:mc="http://schemas.openxmlformats.org/markup-compatibility/2006">
      <mc:Choice Requires="x14">
        <control shapeId="1066" r:id="rId32" name="Image14">
          <controlPr defaultSize="0" autoLine="0" r:id="rId8">
            <anchor moveWithCells="1">
              <from>
                <xdr:col>5</xdr:col>
                <xdr:colOff>47625</xdr:colOff>
                <xdr:row>19</xdr:row>
                <xdr:rowOff>9525</xdr:rowOff>
              </from>
              <to>
                <xdr:col>5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32" name="Image14"/>
      </mc:Fallback>
    </mc:AlternateContent>
    <mc:AlternateContent xmlns:mc="http://schemas.openxmlformats.org/markup-compatibility/2006">
      <mc:Choice Requires="x14">
        <control shapeId="1067" r:id="rId33" name="Image15">
          <controlPr defaultSize="0" autoLine="0" r:id="rId8">
            <anchor moveWithCells="1">
              <from>
                <xdr:col>5</xdr:col>
                <xdr:colOff>47625</xdr:colOff>
                <xdr:row>20</xdr:row>
                <xdr:rowOff>19050</xdr:rowOff>
              </from>
              <to>
                <xdr:col>5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33" name="Image15"/>
      </mc:Fallback>
    </mc:AlternateContent>
    <mc:AlternateContent xmlns:mc="http://schemas.openxmlformats.org/markup-compatibility/2006">
      <mc:Choice Requires="x14">
        <control shapeId="1068" r:id="rId34" name="Image16">
          <controlPr defaultSize="0" autoLine="0" r:id="rId8">
            <anchor moveWithCells="1">
              <from>
                <xdr:col>5</xdr:col>
                <xdr:colOff>47625</xdr:colOff>
                <xdr:row>21</xdr:row>
                <xdr:rowOff>9525</xdr:rowOff>
              </from>
              <to>
                <xdr:col>5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34" name="Image16"/>
      </mc:Fallback>
    </mc:AlternateContent>
    <mc:AlternateContent xmlns:mc="http://schemas.openxmlformats.org/markup-compatibility/2006">
      <mc:Choice Requires="x14">
        <control shapeId="1069" r:id="rId35" name="Image17">
          <controlPr defaultSize="0" autoLine="0" r:id="rId8">
            <anchor moveWithCells="1">
              <from>
                <xdr:col>5</xdr:col>
                <xdr:colOff>47625</xdr:colOff>
                <xdr:row>22</xdr:row>
                <xdr:rowOff>28575</xdr:rowOff>
              </from>
              <to>
                <xdr:col>5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35" name="Image17"/>
      </mc:Fallback>
    </mc:AlternateContent>
    <mc:AlternateContent xmlns:mc="http://schemas.openxmlformats.org/markup-compatibility/2006">
      <mc:Choice Requires="x14">
        <control shapeId="1070" r:id="rId36" name="Image11">
          <controlPr defaultSize="0" autoLine="0" r:id="rId8">
            <anchor moveWithCells="1">
              <from>
                <xdr:col>5</xdr:col>
                <xdr:colOff>47625</xdr:colOff>
                <xdr:row>23</xdr:row>
                <xdr:rowOff>28575</xdr:rowOff>
              </from>
              <to>
                <xdr:col>5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36" name="Image11"/>
      </mc:Fallback>
    </mc:AlternateContent>
    <mc:AlternateContent xmlns:mc="http://schemas.openxmlformats.org/markup-compatibility/2006">
      <mc:Choice Requires="x14">
        <control shapeId="1071" r:id="rId37" name="Image23">
          <controlPr defaultSize="0" autoLine="0" r:id="rId8">
            <anchor moveWithCells="1">
              <from>
                <xdr:col>5</xdr:col>
                <xdr:colOff>47625</xdr:colOff>
                <xdr:row>24</xdr:row>
                <xdr:rowOff>28575</xdr:rowOff>
              </from>
              <to>
                <xdr:col>5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37" name="Image23"/>
      </mc:Fallback>
    </mc:AlternateContent>
    <mc:AlternateContent xmlns:mc="http://schemas.openxmlformats.org/markup-compatibility/2006">
      <mc:Choice Requires="x14">
        <control shapeId="1072" r:id="rId38" name="Image24">
          <controlPr defaultSize="0" autoLine="0" r:id="rId8">
            <anchor moveWithCells="1">
              <from>
                <xdr:col>5</xdr:col>
                <xdr:colOff>47625</xdr:colOff>
                <xdr:row>25</xdr:row>
                <xdr:rowOff>28575</xdr:rowOff>
              </from>
              <to>
                <xdr:col>5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38" name="Image24"/>
      </mc:Fallback>
    </mc:AlternateContent>
    <mc:AlternateContent xmlns:mc="http://schemas.openxmlformats.org/markup-compatibility/2006">
      <mc:Choice Requires="x14">
        <control shapeId="1073" r:id="rId39" name="Image25">
          <controlPr defaultSize="0" autoLine="0" r:id="rId40">
            <anchor moveWithCells="1">
              <from>
                <xdr:col>5</xdr:col>
                <xdr:colOff>47625</xdr:colOff>
                <xdr:row>26</xdr:row>
                <xdr:rowOff>28575</xdr:rowOff>
              </from>
              <to>
                <xdr:col>5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39" name="Image2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2022-10-10T11:51:58Z</dcterms:modified>
</cp:coreProperties>
</file>