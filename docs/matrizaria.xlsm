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851DCB7A-7E4B-4CAA-84ED-26779CBC410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9" i="3" l="1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<sst xmlns="http://schemas.openxmlformats.org/spreadsheetml/2006/main" count="37" uniqueCount="23">
  <si>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</si>
  <si>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</si>
  <si>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</si>
  <si>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</si>
  <si>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</si>
  <si>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</si>
  <si>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</si>
  <si>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</si>
  <si>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</si>
  <si>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M.1811/20 P3 P4</t>
  </si>
  <si>
    <t>E.23178</t>
  </si>
  <si>
    <t>E.81715 - E81641</t>
  </si>
  <si>
    <t>M.0500PON/15</t>
  </si>
  <si>
    <t>E.72322P1 e P2</t>
  </si>
  <si>
    <t>Z.10708/14</t>
  </si>
  <si>
    <t>E.71484P7AL</t>
  </si>
  <si>
    <t>Z.413/07</t>
  </si>
  <si>
    <t>E.22246</t>
  </si>
  <si>
    <t>E.81771</t>
  </si>
  <si>
    <t>E.88813</t>
  </si>
  <si>
    <t>P.4065</t>
  </si>
  <si>
    <t>29/09 e 19/10/2022</t>
  </si>
  <si>
    <t>Foto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</si>
</sst>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nje&#231;&#227;o%206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  <sheetName val="Manutenção Matriz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 P3 P4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E.81715 - E81641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44841.598186342591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44841.598186342591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44841.598186342591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44841.598186342591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E.72322P1 e P2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44841.598186342591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44841.598186342591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44841.598186342591</v>
          </cell>
          <cell r="D63"/>
          <cell r="E63"/>
        </row>
        <row r="64">
          <cell r="A64" t="str">
            <v>Z.413/07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44841.598186342591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/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/>
          <cell r="B70" t="str">
            <v/>
          </cell>
          <cell r="C70"/>
          <cell r="D70"/>
          <cell r="E70"/>
        </row>
        <row r="71">
          <cell r="A71"/>
          <cell r="B71" t="str">
            <v/>
          </cell>
          <cell r="C71"/>
          <cell r="D71"/>
          <cell r="E71"/>
        </row>
        <row r="72">
          <cell r="A72"/>
          <cell r="B72" t="str">
            <v/>
          </cell>
          <cell r="C72"/>
          <cell r="D72"/>
          <cell r="E72"/>
        </row>
        <row r="73">
          <cell r="A73"/>
          <cell r="B73" t="str">
            <v/>
          </cell>
          <cell r="C73"/>
          <cell r="D73"/>
          <cell r="E73"/>
        </row>
        <row r="74">
          <cell r="A74"/>
          <cell r="B74" t="str">
            <v/>
          </cell>
          <cell r="C74"/>
          <cell r="D74"/>
          <cell r="E74"/>
        </row>
        <row r="75">
          <cell r="A75"/>
          <cell r="B75" t="str">
            <v/>
          </cell>
          <cell r="C75"/>
          <cell r="D75"/>
          <cell r="E75"/>
        </row>
        <row r="76">
          <cell r="A76"/>
          <cell r="B76" t="str">
            <v/>
          </cell>
          <cell r="C76"/>
          <cell r="D76"/>
          <cell r="E76"/>
        </row>
        <row r="77">
          <cell r="A77"/>
          <cell r="B77" t="str">
            <v/>
          </cell>
          <cell r="C77"/>
          <cell r="D77"/>
          <cell r="E77"/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INJEÇÃO"/>
      <sheetName val="demanda"/>
      <sheetName val="programacaonova"/>
      <sheetName val="maquina17"/>
      <sheetName val="maquina14"/>
      <sheetName val="maquina16"/>
      <sheetName val="maquina8"/>
      <sheetName val="maquina20"/>
      <sheetName val="maquina6"/>
      <sheetName val="maquina19"/>
      <sheetName val="maquina18"/>
      <sheetName val="maquina11"/>
      <sheetName val="maquina10"/>
      <sheetName val="maquina9"/>
      <sheetName val="Plan5"/>
      <sheetName val="OPERACAO"/>
      <sheetName val="Dados - atu"/>
      <sheetName val="Planilha1- at"/>
      <sheetName val="Planilha2-at"/>
      <sheetName val="prod"/>
      <sheetName val="analise_produzido"/>
      <sheetName val="ciclos_programados"/>
      <sheetName val="Plan1 (2)"/>
    </sheetNames>
    <sheetDataSet>
      <sheetData sheetId="0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4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image" Target="../media/image7.emf"/><Relationship Id="rId33" Type="http://schemas.openxmlformats.org/officeDocument/2006/relationships/control" Target="../activeX/activeX23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0.xml"/><Relationship Id="rId20" Type="http://schemas.openxmlformats.org/officeDocument/2006/relationships/image" Target="../media/image5.emf"/><Relationship Id="rId29" Type="http://schemas.openxmlformats.org/officeDocument/2006/relationships/control" Target="../activeX/activeX19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2.xml"/><Relationship Id="rId37" Type="http://schemas.openxmlformats.org/officeDocument/2006/relationships/image" Target="../media/image9.emf"/><Relationship Id="rId5" Type="http://schemas.openxmlformats.org/officeDocument/2006/relationships/control" Target="../activeX/activeX2.xml"/><Relationship Id="rId15" Type="http://schemas.openxmlformats.org/officeDocument/2006/relationships/image" Target="../media/image4.emf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image" Target="../media/image6.emf"/><Relationship Id="rId27" Type="http://schemas.openxmlformats.org/officeDocument/2006/relationships/image" Target="../media/image8.emf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67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 P3 P4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E.81715 - E81641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44841.598186342591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44841.598186342591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>IF([1]Plan1!C49&lt;&gt;"",[1]Plan1!C49,"")</f>
        <v>44841.598186342591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>IF([1]Plan1!C54&lt;&gt;"",[1]Plan1!C54,"")</f>
        <v>44841.598186342591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E.72322P1 e P2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>
        <f>IF([1]Plan1!C59&lt;&gt;"",[1]Plan1!C59,"")</f>
        <v>44841.598186342591</v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>IF([1]Plan1!C60&lt;&gt;"",[1]Plan1!C60,"")</f>
        <v>44841.598186342591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>IF([1]Plan1!C63&lt;&gt;"",[1]Plan1!C63,"")</f>
        <v>44841.598186342591</v>
      </c>
      <c r="F61" t="str">
        <f t="shared" ca="1" si="0"/>
        <v>OK</v>
      </c>
    </row>
    <row r="62" spans="1:6" x14ac:dyDescent="0.25">
      <c r="A62" s="5" t="str">
        <f>IF([1]Plan1!A64&lt;&gt;"",[1]Plan1!A64,"")</f>
        <v>Z.413/07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>
        <f>IF([1]Plan1!C65&lt;&gt;"",[1]Plan1!C65,"")</f>
        <v>44841.598186342591</v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>E.81771</v>
      </c>
      <c r="B65" s="6">
        <f>IF([1]Plan1!B67&lt;&gt;"",[1]Plan1!B67,"")</f>
        <v>44840.712055902775</v>
      </c>
      <c r="C65" s="5">
        <f>IF([1]Plan1!D67&lt;&gt;"",[1]Plan1!D67,"")</f>
        <v>515</v>
      </c>
      <c r="D65" s="6">
        <f>IF([1]Plan1!E67&lt;&gt;"",[1]Plan1!E67,"")</f>
        <v>44834</v>
      </c>
      <c r="E65" s="6" t="str">
        <f>IF([1]Plan1!C67&lt;&gt;"",[1]Plan1!C67,"")</f>
        <v/>
      </c>
      <c r="F65" t="str">
        <f t="shared" ca="1" si="0"/>
        <v>ATRASO</v>
      </c>
    </row>
    <row r="66" spans="1:6" x14ac:dyDescent="0.25">
      <c r="A66" s="5" t="str">
        <f>IF([1]Plan1!A68&lt;&gt;"",[1]Plan1!A68,"")</f>
        <v>E.88813</v>
      </c>
      <c r="B66" s="6">
        <f>IF([1]Plan1!B68&lt;&gt;"",[1]Plan1!B68,"")</f>
        <v>44840.712865393521</v>
      </c>
      <c r="C66" s="5">
        <f>IF([1]Plan1!D68&lt;&gt;"",[1]Plan1!D68,"")</f>
        <v>24200</v>
      </c>
      <c r="D66" s="6">
        <f>IF([1]Plan1!E68&lt;&gt;"",[1]Plan1!E68,"")</f>
        <v>44852</v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>P.4065</v>
      </c>
      <c r="B67" s="6">
        <f>IF([1]Plan1!B69&lt;&gt;"",[1]Plan1!B69,"")</f>
        <v>44840.713646990742</v>
      </c>
      <c r="C67" s="5">
        <f>IF([1]Plan1!D69&lt;&gt;"",[1]Plan1!D69,"")</f>
        <v>30000</v>
      </c>
      <c r="D67" s="6" t="str">
        <f>IF([1]Plan1!E69&lt;&gt;"",[1]Plan1!E69,"")</f>
        <v>29/09 e 19/10/2022</v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/>
      </c>
      <c r="B68" s="6" t="str">
        <f>IF([1]Plan1!B70&lt;&gt;"",[1]Plan1!B70,"")</f>
        <v/>
      </c>
      <c r="C68" s="5" t="str">
        <f>IF([1]Plan1!D70&lt;&gt;"",[1]Plan1!D70,"")</f>
        <v/>
      </c>
      <c r="D68" s="6" t="str">
        <f>IF([1]Plan1!E70&lt;&gt;"",[1]Plan1!E70,"")</f>
        <v/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/>
      </c>
      <c r="B69" s="6" t="str">
        <f>IF([1]Plan1!B71&lt;&gt;"",[1]Plan1!B71,"")</f>
        <v/>
      </c>
      <c r="C69" s="5" t="str">
        <f>IF([1]Plan1!D71&lt;&gt;"",[1]Plan1!D71,"")</f>
        <v/>
      </c>
      <c r="D69" s="6" t="str">
        <f>IF([1]Plan1!E71&lt;&gt;"",[1]Plan1!E71,"")</f>
        <v/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/>
      </c>
      <c r="B70" s="6" t="str">
        <f>IF([1]Plan1!B72&lt;&gt;"",[1]Plan1!B72,"")</f>
        <v/>
      </c>
      <c r="C70" s="5" t="str">
        <f>IF([1]Plan1!D72&lt;&gt;"",[1]Plan1!D72,"")</f>
        <v/>
      </c>
      <c r="D70" s="6" t="str">
        <f>IF([1]Plan1!E72&lt;&gt;"",[1]Plan1!E72,"")</f>
        <v/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/>
      </c>
      <c r="B71" s="6" t="str">
        <f>IF([1]Plan1!B73&lt;&gt;"",[1]Plan1!B73,"")</f>
        <v/>
      </c>
      <c r="C71" s="5" t="str">
        <f>IF([1]Plan1!D73&lt;&gt;"",[1]Plan1!D73,"")</f>
        <v/>
      </c>
      <c r="D71" s="6" t="str">
        <f>IF([1]Plan1!E73&lt;&gt;"",[1]Plan1!E73,"")</f>
        <v/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/>
      </c>
      <c r="B72" s="6" t="str">
        <f>IF([1]Plan1!B74&lt;&gt;"",[1]Plan1!B74,"")</f>
        <v/>
      </c>
      <c r="C72" s="5" t="str">
        <f>IF([1]Plan1!D74&lt;&gt;"",[1]Plan1!D74,"")</f>
        <v/>
      </c>
      <c r="D72" s="6" t="str">
        <f>IF([1]Plan1!E74&lt;&gt;"",[1]Plan1!E74,"")</f>
        <v/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4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I4" sqref="I4"/>
    </sheetView>
  </sheetViews>
  <sheetFormatPr defaultRowHeight="15" x14ac:dyDescent="0.25"/>
  <cols>
    <col min="1" max="1" width="21.140625" customWidth="1"/>
    <col min="2" max="2" width="18" customWidth="1"/>
    <col min="3" max="3" width="21.28515625" customWidth="1"/>
    <col min="4" max="4" width="29.28515625" customWidth="1"/>
    <col min="5" max="5" width="9.140625" hidden="1" customWidth="1"/>
    <col min="6" max="6" width="10" customWidth="1"/>
  </cols>
  <sheetData>
    <row r="1" spans="1:6" ht="30" customHeight="1" x14ac:dyDescent="0.25">
      <c r="A1" s="3" t="s">
        <v>1</v>
      </c>
      <c r="B1" s="4" t="s">
        <v>2</v>
      </c>
      <c r="C1" s="3" t="s">
        <v>3</v>
      </c>
      <c r="D1" s="4" t="s">
        <v>4</v>
      </c>
      <c r="F1" s="4" t="s">
        <v>22</v>
      </c>
    </row>
    <row r="2" spans="1:6" ht="30" customHeight="1" x14ac:dyDescent="0.25">
      <c r="A2" s="5" t="s">
        <v>5</v>
      </c>
      <c r="B2" s="6">
        <v>44757.710403356483</v>
      </c>
      <c r="C2" s="5" t="s">
        <v>6</v>
      </c>
      <c r="D2" s="6" t="s">
        <v>7</v>
      </c>
      <c r="E2" t="str">
        <f>IFERROR(VLOOKUP(A2,[2]Principal!$A:$B,2,0),"")</f>
        <v>G:\PUBLICO\ANTONIO PCP\imagens\Screenshot_317.bmp</v>
      </c>
      <c r="F2" s="9"/>
    </row>
    <row r="3" spans="1:6" ht="30" customHeight="1" x14ac:dyDescent="0.25">
      <c r="A3" s="5" t="s">
        <v>8</v>
      </c>
      <c r="B3" s="6">
        <v>44757.710567013892</v>
      </c>
      <c r="C3" s="5" t="s">
        <v>6</v>
      </c>
      <c r="D3" s="6" t="s">
        <v>7</v>
      </c>
      <c r="E3" t="str">
        <f>IFERROR(VLOOKUP(A3,[2]Principal!$A:$B,2,0),"")</f>
        <v>G:\PUBLICO\ANTONIO PCP\imagens\Screenshot_33.bmp</v>
      </c>
      <c r="F3" s="9"/>
    </row>
    <row r="4" spans="1:6" ht="30" customHeight="1" x14ac:dyDescent="0.25">
      <c r="A4" s="5" t="s">
        <v>9</v>
      </c>
      <c r="B4" s="6">
        <v>44757.712480324073</v>
      </c>
      <c r="C4" s="5" t="s">
        <v>6</v>
      </c>
      <c r="D4" s="6" t="s">
        <v>7</v>
      </c>
      <c r="E4" t="str">
        <f>IFERROR(VLOOKUP(A4,[2]Principal!$A:$B,2,0),"")</f>
        <v/>
      </c>
      <c r="F4" s="9"/>
    </row>
    <row r="5" spans="1:6" ht="30" customHeight="1" x14ac:dyDescent="0.25">
      <c r="A5" s="5" t="s">
        <v>10</v>
      </c>
      <c r="B5" s="6">
        <v>44776.407489930556</v>
      </c>
      <c r="C5" s="5" t="s">
        <v>6</v>
      </c>
      <c r="D5" s="6" t="s">
        <v>7</v>
      </c>
      <c r="E5" t="str">
        <f>IFERROR(VLOOKUP(A5,[2]Principal!$A:$B,2,0),"")</f>
        <v/>
      </c>
      <c r="F5" s="9"/>
    </row>
    <row r="6" spans="1:6" ht="30" customHeight="1" x14ac:dyDescent="0.25">
      <c r="A6" s="5" t="s">
        <v>11</v>
      </c>
      <c r="B6" s="6">
        <v>44776.407976967595</v>
      </c>
      <c r="C6" s="5" t="s">
        <v>6</v>
      </c>
      <c r="D6" s="6" t="s">
        <v>7</v>
      </c>
      <c r="E6" t="str">
        <f>IFERROR(VLOOKUP(A6,[2]Principal!$A:$B,2,0),"")</f>
        <v/>
      </c>
      <c r="F6" s="9"/>
    </row>
    <row r="7" spans="1:6" ht="30" customHeight="1" x14ac:dyDescent="0.25">
      <c r="A7" s="5" t="s">
        <v>12</v>
      </c>
      <c r="B7" s="6">
        <v>44802.3975244213</v>
      </c>
      <c r="C7" s="5" t="s">
        <v>6</v>
      </c>
      <c r="D7" s="6" t="s">
        <v>7</v>
      </c>
      <c r="E7" t="str">
        <f>IFERROR(VLOOKUP(A7,[2]Principal!$A:$B,2,0),"")</f>
        <v/>
      </c>
      <c r="F7" s="9"/>
    </row>
    <row r="8" spans="1:6" ht="30" customHeight="1" x14ac:dyDescent="0.25">
      <c r="A8" s="5" t="s">
        <v>13</v>
      </c>
      <c r="B8" s="6">
        <v>44831.659344675929</v>
      </c>
      <c r="C8" s="5">
        <v>20</v>
      </c>
      <c r="D8" s="6">
        <v>44813</v>
      </c>
      <c r="E8" t="str">
        <f>IFERROR(VLOOKUP(A8,[2]Principal!$A:$B,2,0),"")</f>
        <v/>
      </c>
      <c r="F8" s="9"/>
    </row>
    <row r="9" spans="1:6" ht="30" customHeight="1" x14ac:dyDescent="0.25">
      <c r="A9" s="5" t="s">
        <v>14</v>
      </c>
      <c r="B9" s="6">
        <v>44832.692451157411</v>
      </c>
      <c r="C9" s="5">
        <v>5000</v>
      </c>
      <c r="D9" s="6">
        <v>44839</v>
      </c>
      <c r="E9" t="str">
        <f>IFERROR(VLOOKUP(A9,[2]Principal!$A:$B,2,0),"")</f>
        <v>G:\PUBLICO\ANTONIO PCP\imagens\Screenshot_83.bmp</v>
      </c>
      <c r="F9" s="9"/>
    </row>
    <row r="10" spans="1:6" ht="30" customHeight="1" x14ac:dyDescent="0.25">
      <c r="A10" s="5" t="s">
        <v>15</v>
      </c>
      <c r="B10" s="6">
        <v>44835.437239236111</v>
      </c>
      <c r="C10" s="5">
        <v>100</v>
      </c>
      <c r="D10" s="6">
        <v>44834</v>
      </c>
      <c r="E10" t="str">
        <f>IFERROR(VLOOKUP(A10,[2]Principal!$A:$B,2,0),"")</f>
        <v/>
      </c>
      <c r="F10" s="9"/>
    </row>
    <row r="11" spans="1:6" ht="30" customHeight="1" x14ac:dyDescent="0.25">
      <c r="A11" s="5" t="s">
        <v>16</v>
      </c>
      <c r="B11" s="6">
        <v>44837.512801851852</v>
      </c>
      <c r="C11" s="5">
        <v>2000</v>
      </c>
      <c r="D11" s="6">
        <v>44839</v>
      </c>
      <c r="E11" t="str">
        <f>IFERROR(VLOOKUP(A11,[2]Principal!$A:$B,2,0),"")</f>
        <v/>
      </c>
      <c r="F11" s="9"/>
    </row>
    <row r="12" spans="1:6" ht="30" customHeight="1" x14ac:dyDescent="0.25">
      <c r="A12" s="5" t="s">
        <v>17</v>
      </c>
      <c r="B12" s="6">
        <v>44839.435153356484</v>
      </c>
      <c r="C12" s="5">
        <v>10000</v>
      </c>
      <c r="D12" s="6">
        <v>44847</v>
      </c>
      <c r="E12" t="str">
        <f>IFERROR(VLOOKUP(A12,[2]Principal!$A:$B,2,0),"")</f>
        <v>G:\PUBLICO\ANTONIO PCP\imagens\Screenshot_216.bmp</v>
      </c>
      <c r="F12" s="9"/>
    </row>
    <row r="13" spans="1:6" ht="30" customHeight="1" x14ac:dyDescent="0.25">
      <c r="A13" s="5" t="s">
        <v>18</v>
      </c>
      <c r="B13" s="6">
        <v>44840.712055902775</v>
      </c>
      <c r="C13" s="5">
        <v>515</v>
      </c>
      <c r="D13" s="6">
        <v>44834</v>
      </c>
      <c r="E13" t="str">
        <f>IFERROR(VLOOKUP(A13,[2]Principal!$A:$B,2,0),"")</f>
        <v/>
      </c>
      <c r="F13" s="9"/>
    </row>
    <row r="14" spans="1:6" ht="30" customHeight="1" x14ac:dyDescent="0.25">
      <c r="A14" s="5" t="s">
        <v>19</v>
      </c>
      <c r="B14" s="6">
        <v>44840.712865393521</v>
      </c>
      <c r="C14" s="5">
        <v>24200</v>
      </c>
      <c r="D14" s="6">
        <v>44852</v>
      </c>
      <c r="E14" t="str">
        <f>IFERROR(VLOOKUP(A14,[2]Principal!$A:$B,2,0),"")</f>
        <v>G:\PUBLICO\ANTONIO PCP\imagens\Screenshot_89.bmp</v>
      </c>
      <c r="F14" s="9"/>
    </row>
    <row r="15" spans="1:6" ht="30" customHeight="1" x14ac:dyDescent="0.25">
      <c r="A15" s="5" t="s">
        <v>20</v>
      </c>
      <c r="B15" s="6">
        <v>44840.713646990742</v>
      </c>
      <c r="C15" s="5">
        <v>30000</v>
      </c>
      <c r="D15" s="6" t="s">
        <v>21</v>
      </c>
      <c r="E15" t="str">
        <f>IFERROR(VLOOKUP(A15,[2]Principal!$A:$B,2,0),"")</f>
        <v>G:\PUBLICO\ANTONIO PCP\imagens\Screenshot_40.bmp</v>
      </c>
      <c r="F15" s="9"/>
    </row>
    <row r="16" spans="1:6" ht="30" customHeight="1" x14ac:dyDescent="0.25">
      <c r="A16" s="5"/>
      <c r="B16" s="6"/>
      <c r="C16" s="5"/>
      <c r="D16" s="6"/>
      <c r="E16" t="str">
        <f>IFERROR(VLOOKUP(A16,[2]Principal!$A:$B,2,0),"")</f>
        <v/>
      </c>
      <c r="F16" s="9"/>
    </row>
    <row r="17" spans="1:6" ht="30" customHeight="1" x14ac:dyDescent="0.25">
      <c r="A17" s="5"/>
      <c r="B17" s="6"/>
      <c r="C17" s="5"/>
      <c r="D17" s="6"/>
      <c r="E17" t="str">
        <f>IFERROR(VLOOKUP(A17,[2]Principal!$A:$B,2,0),"")</f>
        <v/>
      </c>
      <c r="F17" s="9"/>
    </row>
    <row r="18" spans="1:6" ht="30" customHeight="1" x14ac:dyDescent="0.25">
      <c r="A18" s="5"/>
      <c r="B18" s="6"/>
      <c r="C18" s="5"/>
      <c r="D18" s="6"/>
      <c r="E18" t="str">
        <f>IFERROR(VLOOKUP(A18,[2]Principal!$A:$B,2,0),"")</f>
        <v/>
      </c>
      <c r="F18" s="9"/>
    </row>
    <row r="19" spans="1:6" ht="30" customHeight="1" x14ac:dyDescent="0.25">
      <c r="A19" s="5"/>
      <c r="B19" s="6"/>
      <c r="C19" s="5"/>
      <c r="D19" s="6"/>
      <c r="E19" t="str">
        <f>IFERROR(VLOOKUP(A19,[2]Principal!$A:$B,2,0),"")</f>
        <v/>
      </c>
      <c r="F19" s="9"/>
    </row>
    <row r="20" spans="1:6" ht="30" customHeight="1" x14ac:dyDescent="0.25">
      <c r="A20" s="5"/>
      <c r="B20" s="6"/>
      <c r="C20" s="5"/>
      <c r="D20" s="6"/>
      <c r="E20" t="str">
        <f>IFERROR(VLOOKUP(A20,[2]Principal!$A:$B,2,0),"")</f>
        <v/>
      </c>
      <c r="F20" s="9"/>
    </row>
    <row r="21" spans="1:6" ht="30" customHeight="1" x14ac:dyDescent="0.25">
      <c r="A21" s="5"/>
      <c r="B21" s="6"/>
      <c r="C21" s="5"/>
      <c r="D21" s="6"/>
      <c r="E21" t="str">
        <f>IFERROR(VLOOKUP(A21,[2]Principal!$A:$B,2,0),"")</f>
        <v/>
      </c>
      <c r="F21" s="9"/>
    </row>
    <row r="22" spans="1:6" ht="30" customHeight="1" x14ac:dyDescent="0.25">
      <c r="A22" s="5"/>
      <c r="B22" s="6"/>
      <c r="C22" s="5"/>
      <c r="D22" s="6"/>
      <c r="E22" t="str">
        <f>IFERROR(VLOOKUP(A22,[2]Principal!$A:$B,2,0),"")</f>
        <v/>
      </c>
      <c r="F22" s="9"/>
    </row>
    <row r="23" spans="1:6" ht="30" customHeight="1" x14ac:dyDescent="0.25">
      <c r="A23" s="5"/>
      <c r="B23" s="6"/>
      <c r="C23" s="5"/>
      <c r="D23" s="6"/>
      <c r="E23" t="str">
        <f>IFERROR(VLOOKUP(A23,[2]Principal!$A:$B,2,0),"")</f>
        <v/>
      </c>
      <c r="F23" s="9"/>
    </row>
    <row r="24" spans="1:6" ht="30" customHeight="1" x14ac:dyDescent="0.25">
      <c r="A24" s="5"/>
      <c r="B24" s="6"/>
      <c r="C24" s="5"/>
      <c r="D24" s="6"/>
      <c r="E24" t="str">
        <f>IFERROR(VLOOKUP(A24,[2]Principal!$A:$B,2,0),"")</f>
        <v/>
      </c>
      <c r="F24" s="9"/>
    </row>
    <row r="25" spans="1:6" ht="30" customHeight="1" x14ac:dyDescent="0.25">
      <c r="A25" s="5"/>
      <c r="B25" s="6"/>
      <c r="C25" s="5"/>
      <c r="D25" s="6"/>
      <c r="E25" t="str">
        <f>IFERROR(VLOOKUP(A25,[2]Principal!$A:$B,2,0),"")</f>
        <v/>
      </c>
      <c r="F25" s="9"/>
    </row>
    <row r="26" spans="1:6" ht="30" customHeight="1" x14ac:dyDescent="0.25">
      <c r="A26" s="5"/>
      <c r="B26" s="6"/>
      <c r="C26" s="5"/>
      <c r="D26" s="6"/>
      <c r="E26" t="str">
        <f>IFERROR(VLOOKUP(A26,[2]Principal!$A:$B,2,0),"")</f>
        <v/>
      </c>
      <c r="F26" s="9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19:D26">
    <cfRule type="expression" dxfId="3" priority="11">
      <formula>$F19="ATRASO"</formula>
    </cfRule>
  </conditionalFormatting>
  <conditionalFormatting sqref="A17:D18">
    <cfRule type="expression" dxfId="2" priority="5">
      <formula>$F17="ATRASO"</formula>
    </cfRule>
  </conditionalFormatting>
  <conditionalFormatting sqref="A16:D16">
    <cfRule type="expression" dxfId="1" priority="4">
      <formula>$F16="ATRASO"</formula>
    </cfRule>
  </conditionalFormatting>
  <conditionalFormatting sqref="A2:D15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47" r:id="rId3" name="imgfoto">
          <controlPr defaultSize="0" autoLine="0" r:id="rId4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" name="imgfoto"/>
      </mc:Fallback>
    </mc:AlternateContent>
    <mc:AlternateContent xmlns:mc="http://schemas.openxmlformats.org/markup-compatibility/2006">
      <mc:Choice Requires="x14">
        <control shapeId="1048" r:id="rId5" name="Image1">
          <controlPr defaultSize="0" autoLine="0" r:id="rId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5" name="Image1"/>
      </mc:Fallback>
    </mc:AlternateContent>
    <mc:AlternateContent xmlns:mc="http://schemas.openxmlformats.org/markup-compatibility/2006">
      <mc:Choice Requires="x14">
        <control shapeId="1049" r:id="rId7" name="Image2">
          <controlPr defaultSize="0" autoLine="0" r:id="rId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7" name="Image2"/>
      </mc:Fallback>
    </mc:AlternateContent>
    <mc:AlternateContent xmlns:mc="http://schemas.openxmlformats.org/markup-compatibility/2006">
      <mc:Choice Requires="x14">
        <control shapeId="1050" r:id="rId9" name="Image3">
          <controlPr defaultSize="0" autoLine="0" r:id="rId8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9" name="Image3"/>
      </mc:Fallback>
    </mc:AlternateContent>
    <mc:AlternateContent xmlns:mc="http://schemas.openxmlformats.org/markup-compatibility/2006">
      <mc:Choice Requires="x14">
        <control shapeId="1051" r:id="rId10" name="Image4">
          <controlPr defaultSize="0" autoLine="0" r:id="rId8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0" name="Image4"/>
      </mc:Fallback>
    </mc:AlternateContent>
    <mc:AlternateContent xmlns:mc="http://schemas.openxmlformats.org/markup-compatibility/2006">
      <mc:Choice Requires="x14">
        <control shapeId="1052" r:id="rId11" name="Image5">
          <controlPr defaultSize="0" autoLine="0" r:id="rId8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1" name="Image5"/>
      </mc:Fallback>
    </mc:AlternateContent>
    <mc:AlternateContent xmlns:mc="http://schemas.openxmlformats.org/markup-compatibility/2006">
      <mc:Choice Requires="x14">
        <control shapeId="1053" r:id="rId12" name="Image6">
          <controlPr defaultSize="0" autoLine="0" r:id="rId8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2" name="Image6"/>
      </mc:Fallback>
    </mc:AlternateContent>
    <mc:AlternateContent xmlns:mc="http://schemas.openxmlformats.org/markup-compatibility/2006">
      <mc:Choice Requires="x14">
        <control shapeId="1054" r:id="rId13" name="Image7">
          <controlPr defaultSize="0" autoLine="0" r:id="rId8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3" name="Image7"/>
      </mc:Fallback>
    </mc:AlternateContent>
    <mc:AlternateContent xmlns:mc="http://schemas.openxmlformats.org/markup-compatibility/2006">
      <mc:Choice Requires="x14">
        <control shapeId="1055" r:id="rId14" name="Image8">
          <controlPr defaultSize="0" autoLine="0" r:id="rId15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4" name="Image8"/>
      </mc:Fallback>
    </mc:AlternateContent>
    <mc:AlternateContent xmlns:mc="http://schemas.openxmlformats.org/markup-compatibility/2006">
      <mc:Choice Requires="x14">
        <control shapeId="1056" r:id="rId16" name="Image9">
          <controlPr defaultSize="0" autoLine="0" r:id="rId8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16" name="Image9"/>
      </mc:Fallback>
    </mc:AlternateContent>
    <mc:AlternateContent xmlns:mc="http://schemas.openxmlformats.org/markup-compatibility/2006">
      <mc:Choice Requires="x14">
        <control shapeId="1057" r:id="rId17" name="Image10">
          <controlPr defaultSize="0" autoLine="0" r:id="rId8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17" name="Image10"/>
      </mc:Fallback>
    </mc:AlternateContent>
    <mc:AlternateContent xmlns:mc="http://schemas.openxmlformats.org/markup-compatibility/2006">
      <mc:Choice Requires="x14">
        <control shapeId="1058" r:id="rId18" name="Image12">
          <controlPr defaultSize="0" autoLine="0" r:id="rId8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18" name="Image12"/>
      </mc:Fallback>
    </mc:AlternateContent>
    <mc:AlternateContent xmlns:mc="http://schemas.openxmlformats.org/markup-compatibility/2006">
      <mc:Choice Requires="x14">
        <control shapeId="1060" r:id="rId19" name="Image18">
          <controlPr defaultSize="0" autoLine="0" r:id="rId20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19" name="Image18"/>
      </mc:Fallback>
    </mc:AlternateContent>
    <mc:AlternateContent xmlns:mc="http://schemas.openxmlformats.org/markup-compatibility/2006">
      <mc:Choice Requires="x14">
        <control shapeId="1061" r:id="rId21" name="Image19">
          <controlPr defaultSize="0" autoLine="0" r:id="rId22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1" name="Image19"/>
      </mc:Fallback>
    </mc:AlternateContent>
    <mc:AlternateContent xmlns:mc="http://schemas.openxmlformats.org/markup-compatibility/2006">
      <mc:Choice Requires="x14">
        <control shapeId="1062" r:id="rId23" name="Image20">
          <controlPr defaultSize="0" autoLine="0" r:id="rId8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3" name="Image20"/>
      </mc:Fallback>
    </mc:AlternateContent>
    <mc:AlternateContent xmlns:mc="http://schemas.openxmlformats.org/markup-compatibility/2006">
      <mc:Choice Requires="x14">
        <control shapeId="1063" r:id="rId24" name="Image21">
          <controlPr defaultSize="0" autoLine="0" r:id="rId25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4" name="Image21"/>
      </mc:Fallback>
    </mc:AlternateContent>
    <mc:AlternateContent xmlns:mc="http://schemas.openxmlformats.org/markup-compatibility/2006">
      <mc:Choice Requires="x14">
        <control shapeId="1064" r:id="rId26" name="Image22">
          <controlPr defaultSize="0" autoLine="0" r:id="rId27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26" name="Image22"/>
      </mc:Fallback>
    </mc:AlternateContent>
    <mc:AlternateContent xmlns:mc="http://schemas.openxmlformats.org/markup-compatibility/2006">
      <mc:Choice Requires="x14">
        <control shapeId="1065" r:id="rId28" name="Image13">
          <controlPr defaultSize="0" autoLine="0" r:id="rId8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28" name="Image13"/>
      </mc:Fallback>
    </mc:AlternateContent>
    <mc:AlternateContent xmlns:mc="http://schemas.openxmlformats.org/markup-compatibility/2006">
      <mc:Choice Requires="x14">
        <control shapeId="1066" r:id="rId29" name="Image14">
          <controlPr defaultSize="0" autoLine="0" r:id="rId8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29" name="Image14"/>
      </mc:Fallback>
    </mc:AlternateContent>
    <mc:AlternateContent xmlns:mc="http://schemas.openxmlformats.org/markup-compatibility/2006">
      <mc:Choice Requires="x14">
        <control shapeId="1067" r:id="rId30" name="Image15">
          <controlPr defaultSize="0" autoLine="0" r:id="rId8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30" name="Image15"/>
      </mc:Fallback>
    </mc:AlternateContent>
    <mc:AlternateContent xmlns:mc="http://schemas.openxmlformats.org/markup-compatibility/2006">
      <mc:Choice Requires="x14">
        <control shapeId="1068" r:id="rId31" name="Image16">
          <controlPr defaultSize="0" autoLine="0" r:id="rId8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31" name="Image16"/>
      </mc:Fallback>
    </mc:AlternateContent>
    <mc:AlternateContent xmlns:mc="http://schemas.openxmlformats.org/markup-compatibility/2006">
      <mc:Choice Requires="x14">
        <control shapeId="1069" r:id="rId32" name="Image17">
          <controlPr defaultSize="0" autoLine="0" r:id="rId8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32" name="Image17"/>
      </mc:Fallback>
    </mc:AlternateContent>
    <mc:AlternateContent xmlns:mc="http://schemas.openxmlformats.org/markup-compatibility/2006">
      <mc:Choice Requires="x14">
        <control shapeId="1070" r:id="rId33" name="Image11">
          <controlPr defaultSize="0" autoLine="0" r:id="rId8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33" name="Image11"/>
      </mc:Fallback>
    </mc:AlternateContent>
    <mc:AlternateContent xmlns:mc="http://schemas.openxmlformats.org/markup-compatibility/2006">
      <mc:Choice Requires="x14">
        <control shapeId="1071" r:id="rId34" name="Image23">
          <controlPr defaultSize="0" autoLine="0" r:id="rId8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34" name="Image23"/>
      </mc:Fallback>
    </mc:AlternateContent>
    <mc:AlternateContent xmlns:mc="http://schemas.openxmlformats.org/markup-compatibility/2006">
      <mc:Choice Requires="x14">
        <control shapeId="1072" r:id="rId35" name="Image24">
          <controlPr defaultSize="0" autoLine="0" r:id="rId8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35" name="Image24"/>
      </mc:Fallback>
    </mc:AlternateContent>
    <mc:AlternateContent xmlns:mc="http://schemas.openxmlformats.org/markup-compatibility/2006">
      <mc:Choice Requires="x14">
        <control shapeId="1073" r:id="rId36" name="Image25">
          <controlPr defaultSize="0" autoLine="0" r:id="rId37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6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2022-10-10T10:53:31Z</dcterms:modified>
</cp:coreProperties>
</file>