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estudos\matrizaria\docs\"/>
    </mc:Choice>
  </mc:AlternateContent>
  <xr:revisionPtr revIDLastSave="0" documentId="13_ncr:1_{81961803-02DB-4174-BE7D-10365E517340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matrizes" sheetId="1" r:id="rId1"/>
    <sheet name="Planilha2" sheetId="3" r:id="rId2"/>
  </sheets>
  <externalReferences>
    <externalReference r:id="rId3"/>
    <externalReference r:id="rId4"/>
  </externalReferences>
  <definedNames>
    <definedName name="_xlnm._FilterDatabase" localSheetId="0" hidden="1">matrizes!$A$2:$F$108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51" i="3" l="1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A4" i="1" l="1"/>
  <c r="B4" i="1"/>
  <c r="C4" i="1"/>
  <c r="D4" i="1"/>
  <c r="F4" i="1" s="1"/>
  <c r="E4" i="1"/>
  <c r="A5" i="1"/>
  <c r="B5" i="1"/>
  <c r="C5" i="1"/>
  <c r="D5" i="1"/>
  <c r="F5" i="1" s="1"/>
  <c r="E5" i="1"/>
  <c r="A6" i="1"/>
  <c r="B6" i="1"/>
  <c r="C6" i="1"/>
  <c r="D6" i="1"/>
  <c r="F6" i="1" s="1"/>
  <c r="E6" i="1"/>
  <c r="A7" i="1"/>
  <c r="B7" i="1"/>
  <c r="C7" i="1"/>
  <c r="D7" i="1"/>
  <c r="F7" i="1" s="1"/>
  <c r="E7" i="1"/>
  <c r="A8" i="1"/>
  <c r="B8" i="1"/>
  <c r="C8" i="1"/>
  <c r="D8" i="1"/>
  <c r="F8" i="1" s="1"/>
  <c r="E8" i="1"/>
  <c r="A9" i="1"/>
  <c r="B9" i="1"/>
  <c r="C9" i="1"/>
  <c r="D9" i="1"/>
  <c r="F9" i="1" s="1"/>
  <c r="E9" i="1"/>
  <c r="A10" i="1"/>
  <c r="B10" i="1"/>
  <c r="C10" i="1"/>
  <c r="D10" i="1"/>
  <c r="F10" i="1" s="1"/>
  <c r="E10" i="1"/>
  <c r="A11" i="1"/>
  <c r="B11" i="1"/>
  <c r="C11" i="1"/>
  <c r="D11" i="1"/>
  <c r="F11" i="1" s="1"/>
  <c r="E11" i="1"/>
  <c r="A12" i="1"/>
  <c r="B12" i="1"/>
  <c r="C12" i="1"/>
  <c r="D12" i="1"/>
  <c r="F12" i="1" s="1"/>
  <c r="E12" i="1"/>
  <c r="A13" i="1"/>
  <c r="B13" i="1"/>
  <c r="C13" i="1"/>
  <c r="D13" i="1"/>
  <c r="F13" i="1" s="1"/>
  <c r="E13" i="1"/>
  <c r="A14" i="1"/>
  <c r="B14" i="1"/>
  <c r="C14" i="1"/>
  <c r="D14" i="1"/>
  <c r="F14" i="1" s="1"/>
  <c r="E14" i="1"/>
  <c r="A15" i="1"/>
  <c r="B15" i="1"/>
  <c r="C15" i="1"/>
  <c r="D15" i="1"/>
  <c r="F15" i="1" s="1"/>
  <c r="E15" i="1"/>
  <c r="A16" i="1"/>
  <c r="B16" i="1"/>
  <c r="C16" i="1"/>
  <c r="D16" i="1"/>
  <c r="F16" i="1" s="1"/>
  <c r="E16" i="1"/>
  <c r="A17" i="1"/>
  <c r="B17" i="1"/>
  <c r="C17" i="1"/>
  <c r="D17" i="1"/>
  <c r="F17" i="1" s="1"/>
  <c r="E17" i="1"/>
  <c r="A18" i="1"/>
  <c r="B18" i="1"/>
  <c r="C18" i="1"/>
  <c r="D18" i="1"/>
  <c r="F18" i="1" s="1"/>
  <c r="E18" i="1"/>
  <c r="A19" i="1"/>
  <c r="B19" i="1"/>
  <c r="C19" i="1"/>
  <c r="D19" i="1"/>
  <c r="F19" i="1" s="1"/>
  <c r="E19" i="1"/>
  <c r="A20" i="1"/>
  <c r="B20" i="1"/>
  <c r="C20" i="1"/>
  <c r="D20" i="1"/>
  <c r="F20" i="1" s="1"/>
  <c r="E20" i="1"/>
  <c r="A21" i="1"/>
  <c r="B21" i="1"/>
  <c r="C21" i="1"/>
  <c r="D21" i="1"/>
  <c r="F21" i="1" s="1"/>
  <c r="E21" i="1"/>
  <c r="A22" i="1"/>
  <c r="B22" i="1"/>
  <c r="C22" i="1"/>
  <c r="D22" i="1"/>
  <c r="F22" i="1" s="1"/>
  <c r="E22" i="1"/>
  <c r="A23" i="1"/>
  <c r="B23" i="1"/>
  <c r="C23" i="1"/>
  <c r="D23" i="1"/>
  <c r="F23" i="1" s="1"/>
  <c r="E23" i="1"/>
  <c r="A24" i="1"/>
  <c r="B24" i="1"/>
  <c r="C24" i="1"/>
  <c r="D24" i="1"/>
  <c r="F24" i="1" s="1"/>
  <c r="E24" i="1"/>
  <c r="A25" i="1"/>
  <c r="B25" i="1"/>
  <c r="C25" i="1"/>
  <c r="D25" i="1"/>
  <c r="F25" i="1" s="1"/>
  <c r="E25" i="1"/>
  <c r="A26" i="1"/>
  <c r="B26" i="1"/>
  <c r="C26" i="1"/>
  <c r="D26" i="1"/>
  <c r="F26" i="1" s="1"/>
  <c r="E26" i="1"/>
  <c r="A27" i="1"/>
  <c r="B27" i="1"/>
  <c r="C27" i="1"/>
  <c r="D27" i="1"/>
  <c r="F27" i="1" s="1"/>
  <c r="E27" i="1"/>
  <c r="A28" i="1"/>
  <c r="B28" i="1"/>
  <c r="C28" i="1"/>
  <c r="D28" i="1"/>
  <c r="F28" i="1" s="1"/>
  <c r="E28" i="1"/>
  <c r="A29" i="1"/>
  <c r="B29" i="1"/>
  <c r="C29" i="1"/>
  <c r="D29" i="1"/>
  <c r="F29" i="1" s="1"/>
  <c r="E29" i="1"/>
  <c r="A30" i="1"/>
  <c r="B30" i="1"/>
  <c r="C30" i="1"/>
  <c r="D30" i="1"/>
  <c r="F30" i="1" s="1"/>
  <c r="E30" i="1"/>
  <c r="A31" i="1"/>
  <c r="B31" i="1"/>
  <c r="C31" i="1"/>
  <c r="D31" i="1"/>
  <c r="F31" i="1" s="1"/>
  <c r="E31" i="1"/>
  <c r="A32" i="1"/>
  <c r="B32" i="1"/>
  <c r="C32" i="1"/>
  <c r="D32" i="1"/>
  <c r="F32" i="1" s="1"/>
  <c r="E32" i="1"/>
  <c r="A33" i="1"/>
  <c r="B33" i="1"/>
  <c r="C33" i="1"/>
  <c r="D33" i="1"/>
  <c r="F33" i="1" s="1"/>
  <c r="E33" i="1"/>
  <c r="A34" i="1"/>
  <c r="B34" i="1"/>
  <c r="C34" i="1"/>
  <c r="D34" i="1"/>
  <c r="F34" i="1" s="1"/>
  <c r="A35" i="1"/>
  <c r="B35" i="1"/>
  <c r="C35" i="1"/>
  <c r="D35" i="1"/>
  <c r="F35" i="1" s="1"/>
  <c r="E35" i="1"/>
  <c r="A36" i="1"/>
  <c r="B36" i="1"/>
  <c r="C36" i="1"/>
  <c r="D36" i="1"/>
  <c r="F36" i="1" s="1"/>
  <c r="E36" i="1"/>
  <c r="A37" i="1"/>
  <c r="B37" i="1"/>
  <c r="C37" i="1"/>
  <c r="D37" i="1"/>
  <c r="F37" i="1" s="1"/>
  <c r="E37" i="1"/>
  <c r="A38" i="1"/>
  <c r="B38" i="1"/>
  <c r="C38" i="1"/>
  <c r="D38" i="1"/>
  <c r="F38" i="1" s="1"/>
  <c r="E38" i="1"/>
  <c r="A39" i="1"/>
  <c r="B39" i="1"/>
  <c r="C39" i="1"/>
  <c r="D39" i="1"/>
  <c r="F39" i="1" s="1"/>
  <c r="E39" i="1"/>
  <c r="A40" i="1"/>
  <c r="B40" i="1"/>
  <c r="C40" i="1"/>
  <c r="D40" i="1"/>
  <c r="F40" i="1" s="1"/>
  <c r="A41" i="1"/>
  <c r="B41" i="1"/>
  <c r="C41" i="1"/>
  <c r="D41" i="1"/>
  <c r="F41" i="1" s="1"/>
  <c r="E41" i="1"/>
  <c r="A42" i="1"/>
  <c r="B42" i="1"/>
  <c r="C42" i="1"/>
  <c r="D42" i="1"/>
  <c r="F42" i="1" s="1"/>
  <c r="E42" i="1"/>
  <c r="A43" i="1"/>
  <c r="B43" i="1"/>
  <c r="C43" i="1"/>
  <c r="D43" i="1"/>
  <c r="F43" i="1" s="1"/>
  <c r="E43" i="1"/>
  <c r="A44" i="1"/>
  <c r="B44" i="1"/>
  <c r="C44" i="1"/>
  <c r="D44" i="1"/>
  <c r="F44" i="1" s="1"/>
  <c r="E44" i="1"/>
  <c r="A45" i="1"/>
  <c r="B45" i="1"/>
  <c r="C45" i="1"/>
  <c r="D45" i="1"/>
  <c r="F45" i="1" s="1"/>
  <c r="E45" i="1"/>
  <c r="A46" i="1"/>
  <c r="B46" i="1"/>
  <c r="C46" i="1"/>
  <c r="D46" i="1"/>
  <c r="F46" i="1" s="1"/>
  <c r="E46" i="1"/>
  <c r="A47" i="1"/>
  <c r="B47" i="1"/>
  <c r="C47" i="1"/>
  <c r="D47" i="1"/>
  <c r="F47" i="1" s="1"/>
  <c r="E47" i="1"/>
  <c r="A48" i="1"/>
  <c r="B48" i="1"/>
  <c r="C48" i="1"/>
  <c r="D48" i="1"/>
  <c r="F48" i="1" s="1"/>
  <c r="E48" i="1"/>
  <c r="A49" i="1"/>
  <c r="B49" i="1"/>
  <c r="C49" i="1"/>
  <c r="D49" i="1"/>
  <c r="F49" i="1" s="1"/>
  <c r="E49" i="1"/>
  <c r="A50" i="1"/>
  <c r="B50" i="1"/>
  <c r="C50" i="1"/>
  <c r="D50" i="1"/>
  <c r="F50" i="1" s="1"/>
  <c r="E50" i="1"/>
  <c r="A51" i="1"/>
  <c r="C51" i="1"/>
  <c r="D51" i="1"/>
  <c r="F51" i="1" s="1"/>
  <c r="E51" i="1"/>
  <c r="A52" i="1"/>
  <c r="C52" i="1"/>
  <c r="D52" i="1"/>
  <c r="F52" i="1" s="1"/>
  <c r="E52" i="1"/>
  <c r="A53" i="1"/>
  <c r="C53" i="1"/>
  <c r="D53" i="1"/>
  <c r="F53" i="1" s="1"/>
  <c r="E53" i="1"/>
  <c r="A54" i="1"/>
  <c r="C54" i="1"/>
  <c r="D54" i="1"/>
  <c r="F54" i="1" s="1"/>
  <c r="E54" i="1"/>
  <c r="A55" i="1"/>
  <c r="C55" i="1"/>
  <c r="D55" i="1"/>
  <c r="F55" i="1" s="1"/>
  <c r="E55" i="1"/>
  <c r="A56" i="1"/>
  <c r="C56" i="1"/>
  <c r="D56" i="1"/>
  <c r="F56" i="1" s="1"/>
  <c r="E56" i="1"/>
  <c r="A57" i="1"/>
  <c r="C57" i="1"/>
  <c r="D57" i="1"/>
  <c r="F57" i="1" s="1"/>
  <c r="E57" i="1"/>
  <c r="A58" i="1"/>
  <c r="C58" i="1"/>
  <c r="D58" i="1"/>
  <c r="F58" i="1" s="1"/>
  <c r="E58" i="1"/>
  <c r="A59" i="1"/>
  <c r="C59" i="1"/>
  <c r="D59" i="1"/>
  <c r="F59" i="1" s="1"/>
  <c r="E59" i="1"/>
  <c r="A60" i="1"/>
  <c r="C60" i="1"/>
  <c r="D60" i="1"/>
  <c r="F60" i="1" s="1"/>
  <c r="E60" i="1"/>
  <c r="A61" i="1"/>
  <c r="C61" i="1"/>
  <c r="D61" i="1"/>
  <c r="F61" i="1" s="1"/>
  <c r="E61" i="1"/>
  <c r="A62" i="1"/>
  <c r="C62" i="1"/>
  <c r="D62" i="1"/>
  <c r="F62" i="1" s="1"/>
  <c r="E62" i="1"/>
  <c r="A63" i="1"/>
  <c r="C63" i="1"/>
  <c r="D63" i="1"/>
  <c r="F63" i="1" s="1"/>
  <c r="E63" i="1"/>
  <c r="A64" i="1"/>
  <c r="C64" i="1"/>
  <c r="D64" i="1"/>
  <c r="F64" i="1" s="1"/>
  <c r="E64" i="1"/>
  <c r="A65" i="1"/>
  <c r="C65" i="1"/>
  <c r="D65" i="1"/>
  <c r="F65" i="1" s="1"/>
  <c r="E65" i="1"/>
  <c r="A66" i="1"/>
  <c r="C66" i="1"/>
  <c r="D66" i="1"/>
  <c r="F66" i="1" s="1"/>
  <c r="E66" i="1"/>
  <c r="A67" i="1"/>
  <c r="C67" i="1"/>
  <c r="D67" i="1"/>
  <c r="F67" i="1" s="1"/>
  <c r="E67" i="1"/>
  <c r="A68" i="1"/>
  <c r="C68" i="1"/>
  <c r="D68" i="1"/>
  <c r="F68" i="1" s="1"/>
  <c r="E68" i="1"/>
  <c r="A69" i="1"/>
  <c r="C69" i="1"/>
  <c r="D69" i="1"/>
  <c r="F69" i="1" s="1"/>
  <c r="E69" i="1"/>
  <c r="A70" i="1"/>
  <c r="C70" i="1"/>
  <c r="D70" i="1"/>
  <c r="F70" i="1" s="1"/>
  <c r="E70" i="1"/>
  <c r="A71" i="1"/>
  <c r="C71" i="1"/>
  <c r="D71" i="1"/>
  <c r="F71" i="1" s="1"/>
  <c r="E71" i="1"/>
  <c r="A72" i="1"/>
  <c r="C72" i="1"/>
  <c r="D72" i="1"/>
  <c r="F72" i="1" s="1"/>
  <c r="E72" i="1"/>
  <c r="A73" i="1"/>
  <c r="C73" i="1"/>
  <c r="D73" i="1"/>
  <c r="F73" i="1" s="1"/>
  <c r="E73" i="1"/>
  <c r="A74" i="1"/>
  <c r="C74" i="1"/>
  <c r="D74" i="1"/>
  <c r="F74" i="1" s="1"/>
  <c r="E74" i="1"/>
  <c r="A75" i="1"/>
  <c r="C75" i="1"/>
  <c r="D75" i="1"/>
  <c r="F75" i="1" s="1"/>
  <c r="E75" i="1"/>
  <c r="A76" i="1"/>
  <c r="C76" i="1"/>
  <c r="D76" i="1"/>
  <c r="F76" i="1" s="1"/>
  <c r="E76" i="1"/>
  <c r="A77" i="1"/>
  <c r="C77" i="1"/>
  <c r="D77" i="1"/>
  <c r="F77" i="1" s="1"/>
  <c r="E77" i="1"/>
  <c r="A78" i="1"/>
  <c r="C78" i="1"/>
  <c r="D78" i="1"/>
  <c r="F78" i="1" s="1"/>
  <c r="E78" i="1"/>
  <c r="A79" i="1"/>
  <c r="C79" i="1"/>
  <c r="D79" i="1"/>
  <c r="F79" i="1" s="1"/>
  <c r="E79" i="1"/>
  <c r="A80" i="1"/>
  <c r="C80" i="1"/>
  <c r="D80" i="1"/>
  <c r="F80" i="1" s="1"/>
  <c r="E80" i="1"/>
  <c r="A81" i="1"/>
  <c r="C81" i="1"/>
  <c r="D81" i="1"/>
  <c r="F81" i="1" s="1"/>
  <c r="E81" i="1"/>
  <c r="A82" i="1"/>
  <c r="C82" i="1"/>
  <c r="D82" i="1"/>
  <c r="F82" i="1" s="1"/>
  <c r="E82" i="1"/>
  <c r="A83" i="1"/>
  <c r="C83" i="1"/>
  <c r="D83" i="1"/>
  <c r="F83" i="1" s="1"/>
  <c r="E83" i="1"/>
  <c r="A84" i="1"/>
  <c r="C84" i="1"/>
  <c r="D84" i="1"/>
  <c r="F84" i="1" s="1"/>
  <c r="E84" i="1"/>
  <c r="A85" i="1"/>
  <c r="C85" i="1"/>
  <c r="D85" i="1"/>
  <c r="F85" i="1" s="1"/>
  <c r="E85" i="1"/>
  <c r="A86" i="1"/>
  <c r="C86" i="1"/>
  <c r="D86" i="1"/>
  <c r="F86" i="1" s="1"/>
  <c r="E86" i="1"/>
  <c r="A87" i="1"/>
  <c r="C87" i="1"/>
  <c r="D87" i="1"/>
  <c r="F87" i="1" s="1"/>
  <c r="E87" i="1"/>
  <c r="A88" i="1"/>
  <c r="C88" i="1"/>
  <c r="D88" i="1"/>
  <c r="F88" i="1" s="1"/>
  <c r="E88" i="1"/>
  <c r="A89" i="1"/>
  <c r="C89" i="1"/>
  <c r="D89" i="1"/>
  <c r="F89" i="1" s="1"/>
  <c r="E89" i="1"/>
  <c r="A90" i="1"/>
  <c r="C90" i="1"/>
  <c r="D90" i="1"/>
  <c r="F90" i="1" s="1"/>
  <c r="E90" i="1"/>
  <c r="A91" i="1"/>
  <c r="C91" i="1"/>
  <c r="D91" i="1"/>
  <c r="F91" i="1" s="1"/>
  <c r="E91" i="1"/>
  <c r="A92" i="1"/>
  <c r="C92" i="1"/>
  <c r="D92" i="1"/>
  <c r="F92" i="1" s="1"/>
  <c r="E92" i="1"/>
  <c r="A93" i="1"/>
  <c r="C93" i="1"/>
  <c r="D93" i="1"/>
  <c r="F93" i="1" s="1"/>
  <c r="E93" i="1"/>
  <c r="A94" i="1"/>
  <c r="C94" i="1"/>
  <c r="D94" i="1"/>
  <c r="F94" i="1" s="1"/>
  <c r="E94" i="1"/>
  <c r="A95" i="1"/>
  <c r="C95" i="1"/>
  <c r="D95" i="1"/>
  <c r="F95" i="1" s="1"/>
  <c r="E95" i="1"/>
  <c r="A96" i="1"/>
  <c r="C96" i="1"/>
  <c r="D96" i="1"/>
  <c r="F96" i="1" s="1"/>
  <c r="E96" i="1"/>
  <c r="A97" i="1"/>
  <c r="C97" i="1"/>
  <c r="D97" i="1"/>
  <c r="F97" i="1" s="1"/>
  <c r="E97" i="1"/>
  <c r="A98" i="1"/>
  <c r="C98" i="1"/>
  <c r="D98" i="1"/>
  <c r="F98" i="1" s="1"/>
  <c r="E98" i="1"/>
  <c r="A99" i="1"/>
  <c r="C99" i="1"/>
  <c r="D99" i="1"/>
  <c r="F99" i="1" s="1"/>
  <c r="E99" i="1"/>
  <c r="A100" i="1"/>
  <c r="C100" i="1"/>
  <c r="D100" i="1"/>
  <c r="F100" i="1" s="1"/>
  <c r="E100" i="1"/>
  <c r="A101" i="1"/>
  <c r="C101" i="1"/>
  <c r="D101" i="1"/>
  <c r="F101" i="1" s="1"/>
  <c r="E101" i="1"/>
  <c r="A102" i="1"/>
  <c r="C102" i="1"/>
  <c r="D102" i="1"/>
  <c r="F102" i="1" s="1"/>
  <c r="E102" i="1"/>
  <c r="A103" i="1"/>
  <c r="C103" i="1"/>
  <c r="D103" i="1"/>
  <c r="F103" i="1" s="1"/>
  <c r="E103" i="1"/>
  <c r="A104" i="1"/>
  <c r="C104" i="1"/>
  <c r="D104" i="1"/>
  <c r="F104" i="1" s="1"/>
  <c r="E104" i="1"/>
  <c r="A105" i="1"/>
  <c r="C105" i="1"/>
  <c r="D105" i="1"/>
  <c r="F105" i="1" s="1"/>
  <c r="E105" i="1"/>
  <c r="A106" i="1"/>
  <c r="C106" i="1"/>
  <c r="D106" i="1"/>
  <c r="F106" i="1" s="1"/>
  <c r="E106" i="1"/>
  <c r="A107" i="1"/>
  <c r="C107" i="1"/>
  <c r="D107" i="1"/>
  <c r="F107" i="1" s="1"/>
  <c r="E107" i="1"/>
  <c r="E2" i="1"/>
  <c r="E3" i="1"/>
  <c r="B3" i="1"/>
  <c r="C3" i="1"/>
  <c r="D3" i="1"/>
  <c r="A3" i="1"/>
  <c r="E34" i="1"/>
  <c r="E40" i="1"/>
  <c r="B51" i="1" l="1"/>
  <c r="B52" i="1"/>
  <c r="A108" i="1"/>
  <c r="C108" i="1"/>
  <c r="D108" i="1"/>
  <c r="F3" i="1"/>
  <c r="B104" i="1" l="1"/>
  <c r="B100" i="1"/>
  <c r="B96" i="1"/>
  <c r="B92" i="1"/>
  <c r="B88" i="1"/>
  <c r="B84" i="1"/>
  <c r="B80" i="1"/>
  <c r="B76" i="1"/>
  <c r="B72" i="1"/>
  <c r="B68" i="1"/>
  <c r="B64" i="1"/>
  <c r="B60" i="1"/>
  <c r="B56" i="1"/>
  <c r="B107" i="1"/>
  <c r="B103" i="1"/>
  <c r="B99" i="1"/>
  <c r="B95" i="1"/>
  <c r="B91" i="1"/>
  <c r="B87" i="1"/>
  <c r="B83" i="1"/>
  <c r="B79" i="1"/>
  <c r="B75" i="1"/>
  <c r="B71" i="1"/>
  <c r="B67" i="1"/>
  <c r="B63" i="1"/>
  <c r="B59" i="1"/>
  <c r="B55" i="1"/>
  <c r="B106" i="1"/>
  <c r="B102" i="1"/>
  <c r="B98" i="1"/>
  <c r="B94" i="1"/>
  <c r="B90" i="1"/>
  <c r="B86" i="1"/>
  <c r="B82" i="1"/>
  <c r="B78" i="1"/>
  <c r="B74" i="1"/>
  <c r="B70" i="1"/>
  <c r="B66" i="1"/>
  <c r="B62" i="1"/>
  <c r="B58" i="1"/>
  <c r="B54" i="1"/>
  <c r="B105" i="1"/>
  <c r="B101" i="1"/>
  <c r="B97" i="1"/>
  <c r="B93" i="1"/>
  <c r="B89" i="1"/>
  <c r="B85" i="1"/>
  <c r="B81" i="1"/>
  <c r="B77" i="1"/>
  <c r="B73" i="1"/>
  <c r="B69" i="1"/>
  <c r="B65" i="1"/>
  <c r="B61" i="1"/>
  <c r="B57" i="1"/>
  <c r="B53" i="1"/>
  <c r="B108" i="1" l="1"/>
</calcChain>
</file>

<file path=xl/sharedStrings.xml><?xml version="1.0" encoding="utf-8"?>
<sst xmlns="http://schemas.openxmlformats.org/spreadsheetml/2006/main" count="38" uniqueCount="24">
  <si>
    <t>CONTROLE DE MATRIZ</t>
  </si>
  <si>
    <t>REFERENCIA</t>
  </si>
  <si>
    <t>DATA ENVIO</t>
  </si>
  <si>
    <t>QUANTIDADE</t>
  </si>
  <si>
    <t>DATA ENTREGA</t>
  </si>
  <si>
    <t>Z.2176/12</t>
  </si>
  <si>
    <t/>
  </si>
  <si>
    <t>sem pedido</t>
  </si>
  <si>
    <t>P.90594/03</t>
  </si>
  <si>
    <t>E.23178</t>
  </si>
  <si>
    <t>M.0500PON/15</t>
  </si>
  <si>
    <t>E.81771</t>
  </si>
  <si>
    <t>P.4065</t>
  </si>
  <si>
    <t>29/09 e 19/10/2022</t>
  </si>
  <si>
    <t>Foto</t>
  </si>
  <si>
    <t>M.1811/20</t>
  </si>
  <si>
    <t>E.22749</t>
  </si>
  <si>
    <t>SALT.8519397</t>
  </si>
  <si>
    <t>15/10/2022 A/C João</t>
  </si>
  <si>
    <t>E.70315 P1,P2,P3</t>
  </si>
  <si>
    <t>P.90650/03</t>
  </si>
  <si>
    <t>M.0100/10</t>
  </si>
  <si>
    <t>29/07;15/09;28/09;27/10</t>
  </si>
  <si>
    <t>E.81267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</si>
</sst>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gradientFill degree="270">
        <stop position="0">
          <color rgb="FF419995"/>
        </stop>
        <stop position="1">
          <color rgb="FF124242"/>
        </stop>
      </gradientFill>
    </fill>
    <fill>
      <patternFill patternType="solid">
        <fgColor rgb="FF124242"/>
        <bgColor indexed="64"/>
      </patternFill>
    </fill>
    <fill>
      <patternFill patternType="solid">
        <fgColor rgb="FFA3E1E7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14" fontId="0" fillId="0" borderId="0" xfId="0" applyNumberFormat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14" fontId="0" fillId="4" borderId="3" xfId="0" applyNumberFormat="1" applyFill="1" applyBorder="1" applyAlignment="1">
      <alignment horizontal="center" vertical="center"/>
    </xf>
    <xf numFmtId="14" fontId="0" fillId="4" borderId="0" xfId="0" applyNumberForma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0" fontId="0" fillId="4" borderId="3" xfId="0" applyFill="1" applyBorder="1"/>
    <xf numFmtId="0" fontId="3" fillId="4" borderId="3" xfId="0" applyFont="1" applyFill="1" applyBorder="1" applyAlignment="1">
      <alignment horizontal="center" vertical="center"/>
    </xf>
    <xf numFmtId="14" fontId="3" fillId="4" borderId="3" xfId="0" applyNumberFormat="1" applyFont="1" applyFill="1" applyBorder="1" applyAlignment="1">
      <alignment horizontal="center" vertical="center"/>
    </xf>
    <xf numFmtId="0" fontId="3" fillId="0" borderId="0" xfId="0" applyFont="1"/>
    <xf numFmtId="0" fontId="4" fillId="3" borderId="1" xfId="0" applyFont="1" applyFill="1" applyBorder="1" applyAlignment="1">
      <alignment horizontal="center" vertical="center"/>
    </xf>
    <xf numFmtId="14" fontId="4" fillId="3" borderId="2" xfId="0" applyNumberFormat="1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14" fontId="5" fillId="4" borderId="3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0" fillId="4" borderId="4" xfId="0" applyFill="1" applyBorder="1"/>
    <xf numFmtId="0" fontId="0" fillId="0" borderId="6" xfId="0" applyBorder="1"/>
    <xf numFmtId="14" fontId="1" fillId="3" borderId="5" xfId="0" applyNumberFormat="1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4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A3E1E7"/>
      <color rgb="FF61C1C3"/>
      <color rgb="FF124242"/>
      <color rgb="FF419995"/>
      <color rgb="FF89E0FF"/>
      <color rgb="FFB2CECB"/>
      <color rgb="FF134132"/>
      <color rgb="FF4587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19050</xdr:rowOff>
        </xdr:from>
        <xdr:to>
          <xdr:col>5</xdr:col>
          <xdr:colOff>628650</xdr:colOff>
          <xdr:row>2</xdr:row>
          <xdr:rowOff>0</xdr:rowOff>
        </xdr:to>
        <xdr:sp macro="" textlink="">
          <xdr:nvSpPr>
            <xdr:cNvPr id="1047" name="imgfoto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</xdr:row>
          <xdr:rowOff>9525</xdr:rowOff>
        </xdr:from>
        <xdr:to>
          <xdr:col>5</xdr:col>
          <xdr:colOff>619125</xdr:colOff>
          <xdr:row>2</xdr:row>
          <xdr:rowOff>361950</xdr:rowOff>
        </xdr:to>
        <xdr:sp macro="" textlink="">
          <xdr:nvSpPr>
            <xdr:cNvPr id="1048" name="Image1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9525</xdr:rowOff>
        </xdr:from>
        <xdr:to>
          <xdr:col>5</xdr:col>
          <xdr:colOff>628650</xdr:colOff>
          <xdr:row>3</xdr:row>
          <xdr:rowOff>361950</xdr:rowOff>
        </xdr:to>
        <xdr:sp macro="" textlink="">
          <xdr:nvSpPr>
            <xdr:cNvPr id="1049" name="Image2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4</xdr:row>
          <xdr:rowOff>19050</xdr:rowOff>
        </xdr:from>
        <xdr:to>
          <xdr:col>5</xdr:col>
          <xdr:colOff>628650</xdr:colOff>
          <xdr:row>4</xdr:row>
          <xdr:rowOff>371475</xdr:rowOff>
        </xdr:to>
        <xdr:sp macro="" textlink="">
          <xdr:nvSpPr>
            <xdr:cNvPr id="1050" name="Image3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5</xdr:row>
          <xdr:rowOff>9525</xdr:rowOff>
        </xdr:from>
        <xdr:to>
          <xdr:col>5</xdr:col>
          <xdr:colOff>628650</xdr:colOff>
          <xdr:row>5</xdr:row>
          <xdr:rowOff>361950</xdr:rowOff>
        </xdr:to>
        <xdr:sp macro="" textlink="">
          <xdr:nvSpPr>
            <xdr:cNvPr id="1051" name="Image4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6</xdr:row>
          <xdr:rowOff>9525</xdr:rowOff>
        </xdr:from>
        <xdr:to>
          <xdr:col>5</xdr:col>
          <xdr:colOff>628650</xdr:colOff>
          <xdr:row>6</xdr:row>
          <xdr:rowOff>361950</xdr:rowOff>
        </xdr:to>
        <xdr:sp macro="" textlink="">
          <xdr:nvSpPr>
            <xdr:cNvPr id="1052" name="Image5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19050</xdr:rowOff>
        </xdr:from>
        <xdr:to>
          <xdr:col>5</xdr:col>
          <xdr:colOff>619125</xdr:colOff>
          <xdr:row>7</xdr:row>
          <xdr:rowOff>371475</xdr:rowOff>
        </xdr:to>
        <xdr:sp macro="" textlink="">
          <xdr:nvSpPr>
            <xdr:cNvPr id="1053" name="Image6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8</xdr:row>
          <xdr:rowOff>19050</xdr:rowOff>
        </xdr:from>
        <xdr:to>
          <xdr:col>5</xdr:col>
          <xdr:colOff>619125</xdr:colOff>
          <xdr:row>8</xdr:row>
          <xdr:rowOff>371475</xdr:rowOff>
        </xdr:to>
        <xdr:sp macro="" textlink="">
          <xdr:nvSpPr>
            <xdr:cNvPr id="1054" name="Image7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19050</xdr:rowOff>
        </xdr:from>
        <xdr:to>
          <xdr:col>5</xdr:col>
          <xdr:colOff>619125</xdr:colOff>
          <xdr:row>9</xdr:row>
          <xdr:rowOff>371475</xdr:rowOff>
        </xdr:to>
        <xdr:sp macro="" textlink="">
          <xdr:nvSpPr>
            <xdr:cNvPr id="1055" name="Image8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19050</xdr:rowOff>
        </xdr:from>
        <xdr:to>
          <xdr:col>5</xdr:col>
          <xdr:colOff>619125</xdr:colOff>
          <xdr:row>10</xdr:row>
          <xdr:rowOff>371475</xdr:rowOff>
        </xdr:to>
        <xdr:sp macro="" textlink="">
          <xdr:nvSpPr>
            <xdr:cNvPr id="1056" name="Image9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19050</xdr:rowOff>
        </xdr:from>
        <xdr:to>
          <xdr:col>5</xdr:col>
          <xdr:colOff>619125</xdr:colOff>
          <xdr:row>11</xdr:row>
          <xdr:rowOff>371475</xdr:rowOff>
        </xdr:to>
        <xdr:sp macro="" textlink="">
          <xdr:nvSpPr>
            <xdr:cNvPr id="1057" name="Image10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19050</xdr:rowOff>
        </xdr:from>
        <xdr:to>
          <xdr:col>5</xdr:col>
          <xdr:colOff>619125</xdr:colOff>
          <xdr:row>12</xdr:row>
          <xdr:rowOff>371475</xdr:rowOff>
        </xdr:to>
        <xdr:sp macro="" textlink="">
          <xdr:nvSpPr>
            <xdr:cNvPr id="1058" name="Image12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28575</xdr:rowOff>
        </xdr:from>
        <xdr:to>
          <xdr:col>5</xdr:col>
          <xdr:colOff>619125</xdr:colOff>
          <xdr:row>14</xdr:row>
          <xdr:rowOff>0</xdr:rowOff>
        </xdr:to>
        <xdr:sp macro="" textlink="">
          <xdr:nvSpPr>
            <xdr:cNvPr id="1060" name="Image18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28575</xdr:rowOff>
        </xdr:from>
        <xdr:to>
          <xdr:col>5</xdr:col>
          <xdr:colOff>619125</xdr:colOff>
          <xdr:row>15</xdr:row>
          <xdr:rowOff>0</xdr:rowOff>
        </xdr:to>
        <xdr:sp macro="" textlink="">
          <xdr:nvSpPr>
            <xdr:cNvPr id="1061" name="Image19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28575</xdr:rowOff>
        </xdr:from>
        <xdr:to>
          <xdr:col>5</xdr:col>
          <xdr:colOff>619125</xdr:colOff>
          <xdr:row>16</xdr:row>
          <xdr:rowOff>0</xdr:rowOff>
        </xdr:to>
        <xdr:sp macro="" textlink="">
          <xdr:nvSpPr>
            <xdr:cNvPr id="1062" name="Image20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16</xdr:row>
          <xdr:rowOff>28575</xdr:rowOff>
        </xdr:from>
        <xdr:to>
          <xdr:col>5</xdr:col>
          <xdr:colOff>619125</xdr:colOff>
          <xdr:row>17</xdr:row>
          <xdr:rowOff>0</xdr:rowOff>
        </xdr:to>
        <xdr:sp macro="" textlink="">
          <xdr:nvSpPr>
            <xdr:cNvPr id="1063" name="Image21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28575</xdr:rowOff>
        </xdr:from>
        <xdr:to>
          <xdr:col>5</xdr:col>
          <xdr:colOff>619125</xdr:colOff>
          <xdr:row>18</xdr:row>
          <xdr:rowOff>0</xdr:rowOff>
        </xdr:to>
        <xdr:sp macro="" textlink="">
          <xdr:nvSpPr>
            <xdr:cNvPr id="1064" name="Image22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18</xdr:row>
          <xdr:rowOff>19050</xdr:rowOff>
        </xdr:from>
        <xdr:to>
          <xdr:col>5</xdr:col>
          <xdr:colOff>619125</xdr:colOff>
          <xdr:row>18</xdr:row>
          <xdr:rowOff>371475</xdr:rowOff>
        </xdr:to>
        <xdr:sp macro="" textlink="">
          <xdr:nvSpPr>
            <xdr:cNvPr id="1065" name="Image13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19</xdr:row>
          <xdr:rowOff>9525</xdr:rowOff>
        </xdr:from>
        <xdr:to>
          <xdr:col>5</xdr:col>
          <xdr:colOff>619125</xdr:colOff>
          <xdr:row>19</xdr:row>
          <xdr:rowOff>361950</xdr:rowOff>
        </xdr:to>
        <xdr:sp macro="" textlink="">
          <xdr:nvSpPr>
            <xdr:cNvPr id="1066" name="Image14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19050</xdr:rowOff>
        </xdr:from>
        <xdr:to>
          <xdr:col>5</xdr:col>
          <xdr:colOff>619125</xdr:colOff>
          <xdr:row>20</xdr:row>
          <xdr:rowOff>371475</xdr:rowOff>
        </xdr:to>
        <xdr:sp macro="" textlink="">
          <xdr:nvSpPr>
            <xdr:cNvPr id="1067" name="Image15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9525</xdr:rowOff>
        </xdr:from>
        <xdr:to>
          <xdr:col>5</xdr:col>
          <xdr:colOff>619125</xdr:colOff>
          <xdr:row>21</xdr:row>
          <xdr:rowOff>361950</xdr:rowOff>
        </xdr:to>
        <xdr:sp macro="" textlink="">
          <xdr:nvSpPr>
            <xdr:cNvPr id="1068" name="Image16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28575</xdr:rowOff>
        </xdr:from>
        <xdr:to>
          <xdr:col>5</xdr:col>
          <xdr:colOff>619125</xdr:colOff>
          <xdr:row>23</xdr:row>
          <xdr:rowOff>0</xdr:rowOff>
        </xdr:to>
        <xdr:sp macro="" textlink="">
          <xdr:nvSpPr>
            <xdr:cNvPr id="1069" name="Image17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28575</xdr:rowOff>
        </xdr:from>
        <xdr:to>
          <xdr:col>5</xdr:col>
          <xdr:colOff>619125</xdr:colOff>
          <xdr:row>24</xdr:row>
          <xdr:rowOff>0</xdr:rowOff>
        </xdr:to>
        <xdr:sp macro="" textlink="">
          <xdr:nvSpPr>
            <xdr:cNvPr id="1070" name="Image11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28575</xdr:rowOff>
        </xdr:from>
        <xdr:to>
          <xdr:col>5</xdr:col>
          <xdr:colOff>619125</xdr:colOff>
          <xdr:row>25</xdr:row>
          <xdr:rowOff>0</xdr:rowOff>
        </xdr:to>
        <xdr:sp macro="" textlink="">
          <xdr:nvSpPr>
            <xdr:cNvPr id="1071" name="Image23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28575</xdr:rowOff>
        </xdr:from>
        <xdr:to>
          <xdr:col>5</xdr:col>
          <xdr:colOff>619125</xdr:colOff>
          <xdr:row>26</xdr:row>
          <xdr:rowOff>0</xdr:rowOff>
        </xdr:to>
        <xdr:sp macro="" textlink="">
          <xdr:nvSpPr>
            <xdr:cNvPr id="1072" name="Image24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28575</xdr:rowOff>
        </xdr:from>
        <xdr:to>
          <xdr:col>5</xdr:col>
          <xdr:colOff>619125</xdr:colOff>
          <xdr:row>27</xdr:row>
          <xdr:rowOff>0</xdr:rowOff>
        </xdr:to>
        <xdr:sp macro="" textlink="">
          <xdr:nvSpPr>
            <xdr:cNvPr id="1073" name="Image25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UBLICO\JUNIOR%20INJETORAS%20A&#199;O\Manuten&#231;&#227;o%20Matriz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UBLICO\ANTONIO%20PCP\imagens\Banco%20de%20dados%20Image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1"/>
      <sheetName val="Plan2"/>
      <sheetName val="Plan3"/>
    </sheetNames>
    <sheetDataSet>
      <sheetData sheetId="0">
        <row r="4">
          <cell r="C4" t="str">
            <v>HORA RETORNO</v>
          </cell>
        </row>
        <row r="5">
          <cell r="A5" t="str">
            <v>E81713</v>
          </cell>
          <cell r="B5">
            <v>44757.45370416667</v>
          </cell>
          <cell r="C5">
            <v>44776.399334953705</v>
          </cell>
          <cell r="D5">
            <v>14200</v>
          </cell>
          <cell r="E5" t="str">
            <v>28 e 29/07/2022</v>
          </cell>
        </row>
        <row r="6">
          <cell r="A6" t="str">
            <v>Z50122/08</v>
          </cell>
          <cell r="B6">
            <v>44757.454377662034</v>
          </cell>
          <cell r="C6">
            <v>44776.405421064817</v>
          </cell>
          <cell r="D6"/>
          <cell r="E6">
            <v>44768</v>
          </cell>
        </row>
        <row r="7">
          <cell r="A7" t="str">
            <v>PSP90105/M</v>
          </cell>
          <cell r="B7">
            <v>44757.454737731481</v>
          </cell>
          <cell r="C7">
            <v>44757.619746296295</v>
          </cell>
          <cell r="D7">
            <v>3000</v>
          </cell>
          <cell r="E7">
            <v>44756</v>
          </cell>
        </row>
        <row r="8">
          <cell r="A8" t="str">
            <v>P4065</v>
          </cell>
          <cell r="B8">
            <v>44757.455109027775</v>
          </cell>
          <cell r="C8">
            <v>44776.399839467595</v>
          </cell>
          <cell r="D8">
            <v>20</v>
          </cell>
          <cell r="E8">
            <v>44762</v>
          </cell>
        </row>
        <row r="9">
          <cell r="A9" t="str">
            <v>E43729</v>
          </cell>
          <cell r="B9">
            <v>44757.492825694448</v>
          </cell>
          <cell r="C9">
            <v>44776.400034953702</v>
          </cell>
          <cell r="D9">
            <v>80000</v>
          </cell>
          <cell r="E9">
            <v>44763</v>
          </cell>
        </row>
        <row r="10">
          <cell r="A10" t="str">
            <v>E.55967</v>
          </cell>
          <cell r="B10">
            <v>44757.710627777778</v>
          </cell>
          <cell r="C10">
            <v>44784.707010069447</v>
          </cell>
          <cell r="D10"/>
          <cell r="E10" t="str">
            <v>sem pedido</v>
          </cell>
        </row>
        <row r="11">
          <cell r="A11" t="str">
            <v>Z.2176/12</v>
          </cell>
          <cell r="B11">
            <v>44757.710403356483</v>
          </cell>
          <cell r="C11"/>
          <cell r="D11"/>
          <cell r="E11" t="str">
            <v>sem pedido</v>
          </cell>
        </row>
        <row r="12">
          <cell r="A12" t="str">
            <v>P.90594/03</v>
          </cell>
          <cell r="B12">
            <v>44757.710567013892</v>
          </cell>
          <cell r="C12"/>
          <cell r="D12"/>
          <cell r="E12" t="str">
            <v>sem pedido</v>
          </cell>
        </row>
        <row r="13">
          <cell r="A13" t="str">
            <v>Z60363/11</v>
          </cell>
          <cell r="B13">
            <v>44757.712093518516</v>
          </cell>
          <cell r="C13">
            <v>44776.401112268519</v>
          </cell>
          <cell r="D13"/>
          <cell r="E13"/>
        </row>
        <row r="14">
          <cell r="A14" t="str">
            <v>M.1811/20</v>
          </cell>
          <cell r="B14">
            <v>44757.712480324073</v>
          </cell>
          <cell r="C14"/>
          <cell r="D14"/>
          <cell r="E14" t="str">
            <v>sem pedido</v>
          </cell>
        </row>
        <row r="15">
          <cell r="A15" t="str">
            <v>E.71484CC+P1</v>
          </cell>
          <cell r="B15">
            <v>44757.712670601853</v>
          </cell>
          <cell r="C15">
            <v>44784.707545138888</v>
          </cell>
          <cell r="D15">
            <v>44</v>
          </cell>
          <cell r="E15">
            <v>44767</v>
          </cell>
        </row>
        <row r="16">
          <cell r="A16" t="str">
            <v>M.0100/10</v>
          </cell>
          <cell r="B16">
            <v>44769.47510891204</v>
          </cell>
          <cell r="C16">
            <v>44841.59816666667</v>
          </cell>
          <cell r="D16">
            <v>400</v>
          </cell>
          <cell r="E16">
            <v>44771</v>
          </cell>
        </row>
        <row r="17">
          <cell r="A17" t="str">
            <v>E43458</v>
          </cell>
          <cell r="B17">
            <v>44769.475303819447</v>
          </cell>
          <cell r="C17">
            <v>44776.401620949073</v>
          </cell>
          <cell r="D17"/>
          <cell r="E17">
            <v>44756</v>
          </cell>
        </row>
        <row r="18">
          <cell r="A18" t="str">
            <v>SALT.8519397</v>
          </cell>
          <cell r="B18">
            <v>44770.338012384258</v>
          </cell>
          <cell r="C18">
            <v>44810.404311689817</v>
          </cell>
          <cell r="D18">
            <v>2000</v>
          </cell>
          <cell r="E18" t="str">
            <v>A/C João Schmitt</v>
          </cell>
        </row>
        <row r="19">
          <cell r="A19" t="str">
            <v>SA.1191/96</v>
          </cell>
          <cell r="B19">
            <v>44770.338261111108</v>
          </cell>
          <cell r="C19">
            <v>44833.656090509263</v>
          </cell>
          <cell r="D19">
            <v>200</v>
          </cell>
          <cell r="E19" t="str">
            <v>A/C João Schmitt</v>
          </cell>
        </row>
        <row r="20">
          <cell r="A20" t="str">
            <v>E89867</v>
          </cell>
          <cell r="B20">
            <v>44771.586508449072</v>
          </cell>
          <cell r="C20">
            <v>44776.401900578705</v>
          </cell>
          <cell r="D20">
            <v>5710</v>
          </cell>
          <cell r="E20">
            <v>44784</v>
          </cell>
        </row>
        <row r="21">
          <cell r="A21" t="str">
            <v>P.90315/07</v>
          </cell>
          <cell r="B21">
            <v>44771.601120254629</v>
          </cell>
          <cell r="C21">
            <v>44782.352545138892</v>
          </cell>
          <cell r="D21">
            <v>1000</v>
          </cell>
          <cell r="E21">
            <v>44777</v>
          </cell>
        </row>
        <row r="22">
          <cell r="A22" t="str">
            <v>P90105/M</v>
          </cell>
          <cell r="B22">
            <v>44771.60148784722</v>
          </cell>
          <cell r="C22">
            <v>44776.404317129629</v>
          </cell>
          <cell r="D22">
            <v>5000</v>
          </cell>
          <cell r="E22">
            <v>44756</v>
          </cell>
        </row>
        <row r="23">
          <cell r="A23" t="str">
            <v>E43728</v>
          </cell>
          <cell r="B23">
            <v>44771.601818750001</v>
          </cell>
          <cell r="C23">
            <v>44776.403584143518</v>
          </cell>
          <cell r="D23"/>
          <cell r="E23">
            <v>44795</v>
          </cell>
        </row>
        <row r="24">
          <cell r="A24" t="str">
            <v>P.6206</v>
          </cell>
          <cell r="B24">
            <v>44771.604379629629</v>
          </cell>
          <cell r="C24">
            <v>44784.707978703707</v>
          </cell>
          <cell r="D24">
            <v>4500</v>
          </cell>
          <cell r="E24">
            <v>44781</v>
          </cell>
        </row>
        <row r="25">
          <cell r="A25" t="str">
            <v>E81264</v>
          </cell>
          <cell r="B25">
            <v>44774.626230787035</v>
          </cell>
          <cell r="C25">
            <v>44776.682785300924</v>
          </cell>
          <cell r="D25">
            <v>6000</v>
          </cell>
          <cell r="E25">
            <v>44778</v>
          </cell>
        </row>
        <row r="26">
          <cell r="A26" t="str">
            <v>Z.50085/07</v>
          </cell>
          <cell r="B26">
            <v>44774.626649652775</v>
          </cell>
          <cell r="C26">
            <v>44797.342243402774</v>
          </cell>
          <cell r="D26">
            <v>201</v>
          </cell>
          <cell r="E26">
            <v>44735</v>
          </cell>
        </row>
        <row r="27">
          <cell r="A27" t="str">
            <v>E.89867</v>
          </cell>
          <cell r="B27">
            <v>44776.402060995373</v>
          </cell>
          <cell r="C27">
            <v>44784.708171296297</v>
          </cell>
          <cell r="D27">
            <v>6000</v>
          </cell>
          <cell r="E27">
            <v>44775</v>
          </cell>
        </row>
        <row r="28">
          <cell r="A28" t="str">
            <v>E.81753</v>
          </cell>
          <cell r="B28">
            <v>44776.40555729167</v>
          </cell>
          <cell r="C28">
            <v>44788.495741550927</v>
          </cell>
          <cell r="D28">
            <v>15000</v>
          </cell>
          <cell r="E28">
            <v>44784</v>
          </cell>
        </row>
        <row r="29">
          <cell r="A29" t="str">
            <v>Z.10708/08</v>
          </cell>
          <cell r="B29">
            <v>44776.406493518516</v>
          </cell>
          <cell r="C29">
            <v>44817.503438310188</v>
          </cell>
          <cell r="D29"/>
          <cell r="E29" t="str">
            <v>sem pedido</v>
          </cell>
        </row>
        <row r="30">
          <cell r="A30" t="str">
            <v>E.23178</v>
          </cell>
          <cell r="B30">
            <v>44776.407489930556</v>
          </cell>
          <cell r="C30"/>
          <cell r="D30"/>
          <cell r="E30" t="str">
            <v>sem pedido</v>
          </cell>
        </row>
        <row r="31">
          <cell r="A31" t="str">
            <v>E.81715</v>
          </cell>
          <cell r="B31">
            <v>44776.407976967595</v>
          </cell>
          <cell r="C31">
            <v>44845.658827430554</v>
          </cell>
          <cell r="D31"/>
          <cell r="E31" t="str">
            <v>sem pedido</v>
          </cell>
        </row>
        <row r="32">
          <cell r="A32" t="str">
            <v>E.22416</v>
          </cell>
          <cell r="B32">
            <v>44776.687154976855</v>
          </cell>
          <cell r="C32">
            <v>44784.710104861108</v>
          </cell>
          <cell r="D32">
            <v>200</v>
          </cell>
          <cell r="E32">
            <v>44782</v>
          </cell>
        </row>
        <row r="33">
          <cell r="A33" t="str">
            <v>E.56308P2</v>
          </cell>
          <cell r="B33">
            <v>44776.6875</v>
          </cell>
          <cell r="C33">
            <v>44784.709853703702</v>
          </cell>
          <cell r="D33">
            <v>440</v>
          </cell>
          <cell r="E33">
            <v>44782</v>
          </cell>
        </row>
        <row r="34">
          <cell r="A34" t="str">
            <v>E.56325</v>
          </cell>
          <cell r="B34">
            <v>44776.687813425924</v>
          </cell>
          <cell r="C34">
            <v>44784.709721412037</v>
          </cell>
          <cell r="D34"/>
          <cell r="E34"/>
        </row>
        <row r="35">
          <cell r="A35" t="str">
            <v>SA1140</v>
          </cell>
          <cell r="B35">
            <v>44781.620307407407</v>
          </cell>
          <cell r="C35">
            <v>44790.700927430553</v>
          </cell>
          <cell r="D35">
            <v>2000</v>
          </cell>
          <cell r="E35">
            <v>44784</v>
          </cell>
        </row>
        <row r="36">
          <cell r="A36" t="str">
            <v>E.22749</v>
          </cell>
          <cell r="B36">
            <v>44790.403100578704</v>
          </cell>
          <cell r="C36">
            <v>44845.672788657408</v>
          </cell>
          <cell r="D36"/>
          <cell r="E36" t="str">
            <v>sem pedido</v>
          </cell>
        </row>
        <row r="37">
          <cell r="A37" t="str">
            <v>SAZ.30131RF/18</v>
          </cell>
          <cell r="B37">
            <v>44790.403413773151</v>
          </cell>
          <cell r="C37">
            <v>44795.596104166667</v>
          </cell>
          <cell r="D37"/>
          <cell r="E37" t="str">
            <v>sem pedido</v>
          </cell>
        </row>
        <row r="38">
          <cell r="A38" t="str">
            <v>E.81753</v>
          </cell>
          <cell r="B38">
            <v>44790.403645138889</v>
          </cell>
          <cell r="C38">
            <v>44831.658109490738</v>
          </cell>
          <cell r="D38"/>
          <cell r="E38" t="str">
            <v>sem pedido</v>
          </cell>
        </row>
        <row r="39">
          <cell r="A39" t="str">
            <v>E.81498</v>
          </cell>
          <cell r="B39">
            <v>44790.403835532408</v>
          </cell>
          <cell r="C39">
            <v>44810.399062500001</v>
          </cell>
          <cell r="D39"/>
          <cell r="E39" t="str">
            <v>sem pedido</v>
          </cell>
        </row>
        <row r="40">
          <cell r="A40" t="str">
            <v>E.81450</v>
          </cell>
          <cell r="B40">
            <v>44790.623563541667</v>
          </cell>
          <cell r="C40">
            <v>44810.403825347224</v>
          </cell>
          <cell r="D40">
            <v>15000</v>
          </cell>
          <cell r="E40">
            <v>44789</v>
          </cell>
        </row>
        <row r="41">
          <cell r="A41" t="str">
            <v>P.9004</v>
          </cell>
          <cell r="B41">
            <v>44790.624045370372</v>
          </cell>
          <cell r="C41">
            <v>44799.717190509262</v>
          </cell>
          <cell r="D41">
            <v>10000</v>
          </cell>
          <cell r="E41">
            <v>44771</v>
          </cell>
        </row>
        <row r="42">
          <cell r="A42" t="str">
            <v>Z.30010/08</v>
          </cell>
          <cell r="B42">
            <v>44791.490180092595</v>
          </cell>
          <cell r="C42">
            <v>44845.672788657408</v>
          </cell>
          <cell r="D42">
            <v>2500</v>
          </cell>
          <cell r="E42">
            <v>44812</v>
          </cell>
        </row>
        <row r="43">
          <cell r="A43" t="str">
            <v>Z.50176/25</v>
          </cell>
          <cell r="B43">
            <v>44799.717512962961</v>
          </cell>
          <cell r="C43">
            <v>44810.403114351851</v>
          </cell>
          <cell r="D43">
            <v>180</v>
          </cell>
          <cell r="E43">
            <v>44819</v>
          </cell>
        </row>
        <row r="44">
          <cell r="A44" t="str">
            <v>SA.3000/192</v>
          </cell>
          <cell r="B44">
            <v>44799.717741666667</v>
          </cell>
          <cell r="C44">
            <v>44810.399320138888</v>
          </cell>
          <cell r="D44"/>
          <cell r="E44">
            <v>44788</v>
          </cell>
        </row>
        <row r="45">
          <cell r="A45" t="str">
            <v>Z.50085/07</v>
          </cell>
          <cell r="B45">
            <v>44802.397081828705</v>
          </cell>
          <cell r="C45">
            <v>44831.658397916668</v>
          </cell>
          <cell r="D45">
            <v>1480</v>
          </cell>
          <cell r="E45">
            <v>44823</v>
          </cell>
        </row>
        <row r="46">
          <cell r="A46" t="str">
            <v>Z.50084/07</v>
          </cell>
          <cell r="B46">
            <v>44802.397288541666</v>
          </cell>
          <cell r="C46">
            <v>44831.658397916668</v>
          </cell>
          <cell r="D46"/>
          <cell r="E46" t="str">
            <v>sem pedido</v>
          </cell>
        </row>
        <row r="47">
          <cell r="A47" t="str">
            <v>M.0500PON/15</v>
          </cell>
          <cell r="B47">
            <v>44802.3975244213</v>
          </cell>
          <cell r="C47"/>
          <cell r="D47"/>
          <cell r="E47" t="str">
            <v>sem pedido</v>
          </cell>
        </row>
        <row r="48">
          <cell r="A48" t="str">
            <v>Z.50204/07</v>
          </cell>
          <cell r="B48">
            <v>44810.399780092594</v>
          </cell>
          <cell r="C48">
            <v>44831.658559027775</v>
          </cell>
          <cell r="D48">
            <v>150</v>
          </cell>
          <cell r="E48">
            <v>44816</v>
          </cell>
        </row>
        <row r="49">
          <cell r="A49" t="str">
            <v>P.4065</v>
          </cell>
          <cell r="B49">
            <v>44817.503611111111</v>
          </cell>
          <cell r="C49">
            <v>44845.672788657408</v>
          </cell>
          <cell r="D49">
            <v>5000</v>
          </cell>
          <cell r="E49">
            <v>44819</v>
          </cell>
        </row>
        <row r="50">
          <cell r="A50" t="str">
            <v>P.7485</v>
          </cell>
          <cell r="B50">
            <v>44817.504098379628</v>
          </cell>
          <cell r="C50">
            <v>44817.722618287036</v>
          </cell>
          <cell r="D50">
            <v>2500</v>
          </cell>
          <cell r="E50" t="str">
            <v xml:space="preserve">saldo 01/08 e 15/09/2022  </v>
          </cell>
        </row>
        <row r="51">
          <cell r="A51" t="str">
            <v>E.1405</v>
          </cell>
          <cell r="B51">
            <v>44824.639866087964</v>
          </cell>
          <cell r="C51">
            <v>44832.692167245368</v>
          </cell>
          <cell r="D51">
            <v>5520</v>
          </cell>
          <cell r="E51">
            <v>44817</v>
          </cell>
        </row>
        <row r="52">
          <cell r="A52" t="str">
            <v>E.88851</v>
          </cell>
          <cell r="B52">
            <v>44824.640522569447</v>
          </cell>
          <cell r="C52">
            <v>44833.563873032406</v>
          </cell>
          <cell r="D52">
            <v>45000</v>
          </cell>
          <cell r="E52"/>
        </row>
        <row r="53">
          <cell r="A53" t="str">
            <v>E.5294</v>
          </cell>
          <cell r="B53">
            <v>44826.395920370371</v>
          </cell>
          <cell r="C53">
            <v>44833.624048495367</v>
          </cell>
          <cell r="D53">
            <v>1030</v>
          </cell>
          <cell r="E53">
            <v>44830</v>
          </cell>
        </row>
        <row r="54">
          <cell r="A54" t="str">
            <v>E.81267</v>
          </cell>
          <cell r="B54">
            <v>44826.597558912035</v>
          </cell>
          <cell r="C54">
            <v>44845.672788657408</v>
          </cell>
          <cell r="D54">
            <v>370000</v>
          </cell>
          <cell r="E54">
            <v>44851</v>
          </cell>
        </row>
        <row r="55">
          <cell r="A55" t="str">
            <v>SA1180/160</v>
          </cell>
          <cell r="B55">
            <v>44831.659041666666</v>
          </cell>
          <cell r="C55">
            <v>44833.332429513888</v>
          </cell>
          <cell r="D55">
            <v>1000</v>
          </cell>
          <cell r="E55" t="str">
            <v>A/C João Schmitt</v>
          </cell>
        </row>
        <row r="56">
          <cell r="A56" t="str">
            <v>E.72322</v>
          </cell>
          <cell r="B56">
            <v>44831.659344675929</v>
          </cell>
          <cell r="C56">
            <v>44845.657966203704</v>
          </cell>
          <cell r="D56">
            <v>20</v>
          </cell>
          <cell r="E56">
            <v>44813</v>
          </cell>
        </row>
        <row r="57">
          <cell r="A57" t="str">
            <v>P.90650/03</v>
          </cell>
          <cell r="B57">
            <v>44832.446015046298</v>
          </cell>
          <cell r="C57">
            <v>44837.510438310186</v>
          </cell>
          <cell r="D57">
            <v>22000</v>
          </cell>
          <cell r="E57">
            <v>44831</v>
          </cell>
        </row>
        <row r="58">
          <cell r="A58" t="str">
            <v>Z.10708/14</v>
          </cell>
          <cell r="B58">
            <v>44832.692451157411</v>
          </cell>
          <cell r="C58">
            <v>44845.672788657408</v>
          </cell>
          <cell r="D58">
            <v>5000</v>
          </cell>
          <cell r="E58">
            <v>44839</v>
          </cell>
        </row>
        <row r="59">
          <cell r="A59" t="str">
            <v>E.23588</v>
          </cell>
          <cell r="B59">
            <v>44832.692756481483</v>
          </cell>
          <cell r="C59">
            <v>44845.672788657408</v>
          </cell>
          <cell r="D59">
            <v>10000</v>
          </cell>
          <cell r="E59">
            <v>44837</v>
          </cell>
        </row>
        <row r="60">
          <cell r="A60" t="str">
            <v>E.81498</v>
          </cell>
          <cell r="B60">
            <v>44833.334815624999</v>
          </cell>
          <cell r="C60">
            <v>44845.672788657408</v>
          </cell>
          <cell r="D60">
            <v>28000</v>
          </cell>
          <cell r="E60">
            <v>44838</v>
          </cell>
        </row>
        <row r="61">
          <cell r="A61" t="str">
            <v>E.81267</v>
          </cell>
          <cell r="B61">
            <v>44834.338098495369</v>
          </cell>
          <cell r="C61">
            <v>44835.437054861111</v>
          </cell>
          <cell r="D61">
            <v>340000</v>
          </cell>
          <cell r="E61">
            <v>44858</v>
          </cell>
        </row>
        <row r="62">
          <cell r="A62" t="str">
            <v>E.71484P7AL</v>
          </cell>
          <cell r="B62">
            <v>44835.437239236111</v>
          </cell>
          <cell r="C62">
            <v>44845.672788657408</v>
          </cell>
          <cell r="D62">
            <v>100</v>
          </cell>
          <cell r="E62">
            <v>44834</v>
          </cell>
        </row>
        <row r="63">
          <cell r="A63" t="str">
            <v>E.81498</v>
          </cell>
          <cell r="B63">
            <v>44835.437906944448</v>
          </cell>
          <cell r="C63">
            <v>44845.672788657408</v>
          </cell>
          <cell r="D63"/>
          <cell r="E63"/>
        </row>
        <row r="64">
          <cell r="A64" t="str">
            <v>Z.0413/07</v>
          </cell>
          <cell r="B64">
            <v>44837.512801851852</v>
          </cell>
          <cell r="C64">
            <v>44845.672788657408</v>
          </cell>
          <cell r="D64">
            <v>2000</v>
          </cell>
          <cell r="E64">
            <v>44839</v>
          </cell>
        </row>
        <row r="65">
          <cell r="A65" t="str">
            <v>E.81498</v>
          </cell>
          <cell r="B65">
            <v>44839.362604861111</v>
          </cell>
          <cell r="C65">
            <v>44845.672788657408</v>
          </cell>
          <cell r="D65"/>
          <cell r="E65">
            <v>44846</v>
          </cell>
        </row>
        <row r="66">
          <cell r="A66" t="str">
            <v>E.22246</v>
          </cell>
          <cell r="B66">
            <v>44839.435153356484</v>
          </cell>
          <cell r="C66">
            <v>44845.672788657408</v>
          </cell>
          <cell r="D66">
            <v>10000</v>
          </cell>
          <cell r="E66">
            <v>44847</v>
          </cell>
        </row>
        <row r="67">
          <cell r="A67" t="str">
            <v>E.81771</v>
          </cell>
          <cell r="B67">
            <v>44840.712055902775</v>
          </cell>
          <cell r="C67"/>
          <cell r="D67">
            <v>515</v>
          </cell>
          <cell r="E67">
            <v>44834</v>
          </cell>
        </row>
        <row r="68">
          <cell r="A68" t="str">
            <v>E.88813</v>
          </cell>
          <cell r="B68">
            <v>44840.712865393521</v>
          </cell>
          <cell r="C68">
            <v>44845.672788657408</v>
          </cell>
          <cell r="D68">
            <v>24200</v>
          </cell>
          <cell r="E68">
            <v>44852</v>
          </cell>
        </row>
        <row r="69">
          <cell r="A69" t="str">
            <v>P.4065</v>
          </cell>
          <cell r="B69">
            <v>44840.713646990742</v>
          </cell>
          <cell r="C69"/>
          <cell r="D69">
            <v>30000</v>
          </cell>
          <cell r="E69" t="str">
            <v>29/09 e 19/10/2022</v>
          </cell>
        </row>
        <row r="70">
          <cell r="A70" t="str">
            <v>P.9004</v>
          </cell>
          <cell r="B70">
            <v>44844.342510648145</v>
          </cell>
          <cell r="C70">
            <v>44845.672788657408</v>
          </cell>
          <cell r="D70">
            <v>5000</v>
          </cell>
          <cell r="E70">
            <v>44845</v>
          </cell>
        </row>
        <row r="71">
          <cell r="A71" t="str">
            <v>E.22749</v>
          </cell>
          <cell r="B71">
            <v>44844.34290462963</v>
          </cell>
          <cell r="C71"/>
          <cell r="D71">
            <v>20000</v>
          </cell>
          <cell r="E71">
            <v>44854</v>
          </cell>
        </row>
        <row r="72">
          <cell r="A72" t="str">
            <v>E.72300</v>
          </cell>
          <cell r="B72">
            <v>44844.343248958336</v>
          </cell>
          <cell r="C72">
            <v>44845.672788657408</v>
          </cell>
          <cell r="D72">
            <v>1000</v>
          </cell>
          <cell r="E72">
            <v>44854</v>
          </cell>
        </row>
        <row r="73">
          <cell r="A73" t="str">
            <v>Z.10708/08</v>
          </cell>
          <cell r="B73">
            <v>44844.347717592595</v>
          </cell>
          <cell r="C73">
            <v>44845.672788657408</v>
          </cell>
          <cell r="D73">
            <v>60000</v>
          </cell>
          <cell r="E73">
            <v>44845</v>
          </cell>
        </row>
        <row r="74">
          <cell r="A74" t="str">
            <v>E.81641</v>
          </cell>
          <cell r="B74">
            <v>44776.407976967595</v>
          </cell>
          <cell r="C74">
            <v>44845.672788657408</v>
          </cell>
          <cell r="D74"/>
          <cell r="E74" t="str">
            <v>sem pedido</v>
          </cell>
        </row>
        <row r="75">
          <cell r="A75" t="str">
            <v>SALT.8519397</v>
          </cell>
          <cell r="B75">
            <v>44844.457735995369</v>
          </cell>
          <cell r="C75"/>
          <cell r="D75">
            <v>1000</v>
          </cell>
          <cell r="E75" t="str">
            <v>15/10/2022 A/C João</v>
          </cell>
        </row>
        <row r="76">
          <cell r="A76" t="str">
            <v>E.70315 P1,P2,P3</v>
          </cell>
          <cell r="B76">
            <v>44844.458405555553</v>
          </cell>
          <cell r="C76"/>
          <cell r="D76"/>
          <cell r="E76" t="str">
            <v>sem pedido</v>
          </cell>
        </row>
        <row r="77">
          <cell r="A77" t="str">
            <v>P.90650/03</v>
          </cell>
          <cell r="B77">
            <v>44845.442668055555</v>
          </cell>
          <cell r="C77"/>
          <cell r="D77">
            <v>16000</v>
          </cell>
          <cell r="E77">
            <v>44855</v>
          </cell>
        </row>
        <row r="78">
          <cell r="A78" t="str">
            <v>M.0100/10</v>
          </cell>
          <cell r="B78">
            <v>44845.66058935185</v>
          </cell>
          <cell r="C78"/>
          <cell r="D78">
            <v>1600</v>
          </cell>
          <cell r="E78" t="str">
            <v>29/07;15/09;28/09;27/10</v>
          </cell>
        </row>
        <row r="79">
          <cell r="A79" t="str">
            <v>E.81267</v>
          </cell>
          <cell r="B79">
            <v>44845.672788657408</v>
          </cell>
          <cell r="C79"/>
          <cell r="D79">
            <v>196000</v>
          </cell>
          <cell r="E79">
            <v>44851</v>
          </cell>
        </row>
        <row r="80">
          <cell r="A80"/>
          <cell r="B80" t="str">
            <v/>
          </cell>
          <cell r="C80"/>
          <cell r="D80"/>
          <cell r="E80"/>
        </row>
        <row r="81">
          <cell r="A81"/>
          <cell r="B81" t="str">
            <v/>
          </cell>
          <cell r="C81"/>
          <cell r="D81"/>
          <cell r="E81"/>
        </row>
        <row r="82">
          <cell r="A82"/>
          <cell r="B82" t="str">
            <v/>
          </cell>
          <cell r="C82"/>
          <cell r="D82"/>
          <cell r="E82"/>
        </row>
        <row r="83">
          <cell r="A83"/>
          <cell r="B83" t="str">
            <v/>
          </cell>
          <cell r="C83"/>
          <cell r="D83"/>
          <cell r="E83"/>
        </row>
        <row r="84">
          <cell r="A84"/>
          <cell r="B84" t="str">
            <v/>
          </cell>
          <cell r="C84"/>
          <cell r="D84"/>
          <cell r="E84"/>
        </row>
        <row r="85">
          <cell r="A85"/>
          <cell r="B85" t="str">
            <v/>
          </cell>
          <cell r="C85"/>
          <cell r="D85"/>
          <cell r="E85"/>
        </row>
        <row r="86">
          <cell r="A86"/>
          <cell r="B86" t="str">
            <v/>
          </cell>
          <cell r="C86"/>
          <cell r="D86"/>
          <cell r="E86"/>
        </row>
        <row r="87">
          <cell r="A87"/>
          <cell r="B87" t="str">
            <v/>
          </cell>
          <cell r="C87"/>
          <cell r="D87"/>
          <cell r="E87"/>
        </row>
        <row r="88">
          <cell r="A88"/>
          <cell r="B88" t="str">
            <v/>
          </cell>
          <cell r="C88"/>
          <cell r="D88"/>
          <cell r="E88"/>
        </row>
        <row r="89">
          <cell r="A89"/>
          <cell r="B89" t="str">
            <v/>
          </cell>
          <cell r="C89"/>
          <cell r="D89"/>
          <cell r="E89"/>
        </row>
        <row r="90">
          <cell r="A90"/>
          <cell r="B90" t="str">
            <v/>
          </cell>
          <cell r="C90"/>
          <cell r="D90"/>
          <cell r="E90"/>
        </row>
        <row r="91">
          <cell r="A91"/>
          <cell r="B91" t="str">
            <v/>
          </cell>
          <cell r="C91"/>
          <cell r="D91"/>
          <cell r="E91"/>
        </row>
        <row r="92">
          <cell r="A92"/>
          <cell r="B92" t="str">
            <v/>
          </cell>
          <cell r="C92"/>
          <cell r="D92"/>
          <cell r="E92"/>
        </row>
        <row r="93">
          <cell r="A93"/>
          <cell r="B93" t="str">
            <v/>
          </cell>
          <cell r="C93"/>
          <cell r="D93"/>
          <cell r="E93"/>
        </row>
        <row r="94">
          <cell r="A94"/>
          <cell r="B94" t="str">
            <v/>
          </cell>
          <cell r="C94"/>
          <cell r="D94"/>
          <cell r="E94"/>
        </row>
        <row r="95">
          <cell r="A95"/>
          <cell r="B95" t="str">
            <v/>
          </cell>
          <cell r="C95"/>
          <cell r="D95"/>
          <cell r="E95"/>
        </row>
        <row r="96">
          <cell r="A96"/>
          <cell r="B96" t="str">
            <v/>
          </cell>
          <cell r="C96"/>
          <cell r="D96"/>
          <cell r="E96"/>
        </row>
        <row r="97">
          <cell r="A97"/>
          <cell r="B97" t="str">
            <v/>
          </cell>
          <cell r="C97"/>
          <cell r="D97"/>
          <cell r="E97"/>
        </row>
        <row r="98">
          <cell r="A98"/>
          <cell r="B98" t="str">
            <v/>
          </cell>
          <cell r="C98"/>
          <cell r="D98"/>
          <cell r="E98"/>
        </row>
        <row r="99">
          <cell r="A99"/>
          <cell r="B99" t="str">
            <v/>
          </cell>
          <cell r="C99"/>
          <cell r="D99"/>
          <cell r="E99"/>
        </row>
        <row r="100">
          <cell r="A100"/>
          <cell r="B100" t="str">
            <v/>
          </cell>
          <cell r="C100"/>
          <cell r="D100"/>
          <cell r="E100"/>
        </row>
        <row r="101">
          <cell r="A101"/>
          <cell r="B101" t="str">
            <v/>
          </cell>
          <cell r="C101"/>
          <cell r="D101"/>
          <cell r="E101"/>
        </row>
        <row r="102">
          <cell r="A102"/>
          <cell r="B102" t="str">
            <v/>
          </cell>
          <cell r="C102"/>
          <cell r="D102"/>
          <cell r="E102"/>
        </row>
        <row r="103">
          <cell r="A103"/>
          <cell r="B103" t="str">
            <v/>
          </cell>
          <cell r="C103"/>
          <cell r="D103"/>
          <cell r="E103"/>
        </row>
        <row r="104">
          <cell r="A104"/>
          <cell r="B104" t="str">
            <v/>
          </cell>
          <cell r="C104"/>
          <cell r="D104"/>
          <cell r="E104"/>
        </row>
        <row r="105">
          <cell r="A105"/>
          <cell r="B105" t="str">
            <v/>
          </cell>
          <cell r="C105"/>
          <cell r="D105"/>
          <cell r="E105"/>
        </row>
        <row r="106">
          <cell r="A106"/>
          <cell r="B106" t="str">
            <v/>
          </cell>
          <cell r="C106"/>
          <cell r="D106"/>
          <cell r="E106"/>
        </row>
        <row r="107">
          <cell r="A107"/>
          <cell r="B107" t="str">
            <v/>
          </cell>
          <cell r="C107"/>
          <cell r="D107"/>
          <cell r="E107"/>
        </row>
        <row r="108">
          <cell r="A108"/>
          <cell r="B108" t="str">
            <v/>
          </cell>
          <cell r="C108"/>
          <cell r="D108"/>
          <cell r="E108"/>
        </row>
        <row r="109">
          <cell r="A109"/>
          <cell r="B109" t="str">
            <v/>
          </cell>
          <cell r="C109"/>
          <cell r="D109"/>
          <cell r="E109"/>
        </row>
        <row r="116">
          <cell r="A116"/>
          <cell r="B116" t="str">
            <v/>
          </cell>
          <cell r="D116"/>
          <cell r="E116"/>
        </row>
      </sheetData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1"/>
      <sheetName val="Principal"/>
    </sheetNames>
    <sheetDataSet>
      <sheetData sheetId="0"/>
      <sheetData sheetId="1">
        <row r="1">
          <cell r="A1" t="str">
            <v>referencia</v>
          </cell>
          <cell r="B1" t="str">
            <v>caminho</v>
          </cell>
        </row>
        <row r="2">
          <cell r="A2" t="str">
            <v>P.3179</v>
          </cell>
          <cell r="B2" t="str">
            <v>G:\PUBLICO\ANTONIO PCP\imagens\P3179.bmp</v>
          </cell>
        </row>
        <row r="3">
          <cell r="A3" t="str">
            <v>P.90314/07</v>
          </cell>
          <cell r="B3" t="str">
            <v>G:\PUBLICO\ANTONIO PCP\imagens\Screenshot_1.bmp</v>
          </cell>
        </row>
        <row r="4">
          <cell r="A4" t="str">
            <v>P.5723</v>
          </cell>
          <cell r="B4" t="str">
            <v>G:\PUBLICO\ANTONIO PCP\imagens\Screenshot_2.bmp</v>
          </cell>
        </row>
        <row r="5">
          <cell r="A5" t="str">
            <v>E.23420</v>
          </cell>
          <cell r="B5" t="str">
            <v>G:\PUBLICO\ANTONIO PCP\imagens\Screenshot_3.bmp</v>
          </cell>
        </row>
        <row r="6">
          <cell r="A6" t="str">
            <v>E.71921</v>
          </cell>
          <cell r="B6" t="str">
            <v>G:\PUBLICO\ANTONIO PCP\imagens\Screenshot_4.bmp</v>
          </cell>
        </row>
        <row r="7">
          <cell r="A7" t="str">
            <v>E.43616</v>
          </cell>
          <cell r="B7" t="str">
            <v>G:\PUBLICO\ANTONIO PCP\imagens\Screenshot_5.bmp</v>
          </cell>
        </row>
        <row r="8">
          <cell r="A8" t="str">
            <v>PSP.90314/07</v>
          </cell>
          <cell r="B8" t="str">
            <v>G:\PUBLICO\ANTONIO PCP\imagens\Screenshot_1.bmp</v>
          </cell>
        </row>
        <row r="9">
          <cell r="A9" t="str">
            <v>Z.20142/14</v>
          </cell>
          <cell r="B9" t="str">
            <v>G:\PUBLICO\ANTONIO PCP\imagens\Screenshot_6.bmp</v>
          </cell>
        </row>
        <row r="10">
          <cell r="A10" t="str">
            <v>Z.50085/07</v>
          </cell>
          <cell r="B10" t="str">
            <v>G:\PUBLICO\ANTONIO PCP\imagens\Screenshot_7.bmp</v>
          </cell>
        </row>
        <row r="11">
          <cell r="A11" t="str">
            <v>E.81080</v>
          </cell>
          <cell r="B11" t="str">
            <v>G:\PUBLICO\ANTONIO PCP\imagens\Screenshot_8.bmp</v>
          </cell>
        </row>
        <row r="12">
          <cell r="A12" t="str">
            <v>E.55928PC</v>
          </cell>
          <cell r="B12" t="str">
            <v>G:\PUBLICO\ANTONIO PCP\imagens\Screenshot_9.bmp</v>
          </cell>
        </row>
        <row r="13">
          <cell r="A13" t="str">
            <v>Z.20242/13</v>
          </cell>
          <cell r="B13" t="str">
            <v>G:\PUBLICO\ANTONIO PCP\imagens\Screenshot_10.bmp</v>
          </cell>
        </row>
        <row r="14">
          <cell r="A14" t="str">
            <v>E.81112</v>
          </cell>
          <cell r="B14" t="str">
            <v>G:\PUBLICO\ANTONIO PCP\imagens\Screenshot_11.bmp</v>
          </cell>
        </row>
        <row r="15">
          <cell r="A15" t="str">
            <v>P.90376/08</v>
          </cell>
          <cell r="B15" t="str">
            <v>G:\PUBLICO\ANTONIO PCP\imagens\Screenshot_12.bmp</v>
          </cell>
        </row>
        <row r="16">
          <cell r="A16" t="str">
            <v>P.3181</v>
          </cell>
          <cell r="B16" t="str">
            <v>G:\PUBLICO\ANTONIO PCP\imagens\Screenshot_13.bmp</v>
          </cell>
        </row>
        <row r="17">
          <cell r="A17" t="str">
            <v>E.23169</v>
          </cell>
          <cell r="B17" t="str">
            <v>G:\PUBLICO\ANTONIO PCP\imagens\Screenshot_14.bmp</v>
          </cell>
        </row>
        <row r="18">
          <cell r="A18" t="str">
            <v>PON.078</v>
          </cell>
          <cell r="B18" t="str">
            <v>G:\PUBLICO\ANTONIO PCP\imagens\Screenshot_15.bmp</v>
          </cell>
        </row>
        <row r="19">
          <cell r="A19" t="str">
            <v>E.72263P1</v>
          </cell>
          <cell r="B19" t="str">
            <v>G:\PUBLICO\ANTONIO PCP\imagens\Screenshot_16.bmp</v>
          </cell>
        </row>
        <row r="20">
          <cell r="A20" t="str">
            <v>E.72263P2</v>
          </cell>
          <cell r="B20" t="str">
            <v>G:\PUBLICO\ANTONIO PCP\imagens\Screenshot_16.bmp</v>
          </cell>
        </row>
        <row r="21">
          <cell r="A21" t="str">
            <v>PSP.90105/A</v>
          </cell>
          <cell r="B21" t="str">
            <v>G:\PUBLICO\ANTONIO PCP\imagens\Screenshot_17.bmp</v>
          </cell>
        </row>
        <row r="22">
          <cell r="A22" t="str">
            <v>E.81626</v>
          </cell>
          <cell r="B22" t="str">
            <v>G:\PUBLICO\ANTONIO PCP\imagens\Screenshot_18.bmp</v>
          </cell>
        </row>
        <row r="23">
          <cell r="A23" t="str">
            <v>E.72257</v>
          </cell>
          <cell r="B23" t="str">
            <v>G:\PUBLICO\ANTONIO PCP\imagens\Screenshot_19.bmp</v>
          </cell>
        </row>
        <row r="24">
          <cell r="A24" t="str">
            <v>E.81549</v>
          </cell>
          <cell r="B24" t="str">
            <v>G:\PUBLICO\ANTONIO PCP\imagens\Screenshot_20.bmp</v>
          </cell>
        </row>
        <row r="25">
          <cell r="A25" t="str">
            <v>P.5839     SEM/PINO</v>
          </cell>
          <cell r="B25" t="str">
            <v>G:\PUBLICO\ANTONIO PCP\imagens\Screenshot_21.bmp</v>
          </cell>
        </row>
        <row r="26">
          <cell r="A26" t="str">
            <v>P.8835</v>
          </cell>
          <cell r="B26" t="str">
            <v>G:\PUBLICO\ANTONIO PCP\imagens\Screenshot_22.bmp</v>
          </cell>
        </row>
        <row r="27">
          <cell r="A27" t="str">
            <v>E.1314</v>
          </cell>
          <cell r="B27" t="str">
            <v>G:\PUBLICO\ANTONIO PCP\imagens\Screenshot_23.bmp</v>
          </cell>
        </row>
        <row r="28">
          <cell r="A28" t="str">
            <v>E.81588</v>
          </cell>
          <cell r="B28" t="str">
            <v>G:\PUBLICO\ANTONIO PCP\imagens\Screenshot_24.bmp</v>
          </cell>
        </row>
        <row r="29">
          <cell r="A29" t="str">
            <v>P.7148</v>
          </cell>
          <cell r="B29" t="str">
            <v>G:\PUBLICO\ANTONIO PCP\imagens\Screenshot_25.bmp</v>
          </cell>
        </row>
        <row r="30">
          <cell r="A30" t="str">
            <v>Z.10708/08</v>
          </cell>
          <cell r="B30" t="str">
            <v>G:\PUBLICO\ANTONIO PCP\imagens\Screenshot_26.bmp</v>
          </cell>
        </row>
        <row r="31">
          <cell r="A31" t="str">
            <v>E.81634</v>
          </cell>
          <cell r="B31" t="str">
            <v>G:\PUBLICO\ANTONIO PCP\imagens\Screenshot_27.bmp</v>
          </cell>
        </row>
        <row r="32">
          <cell r="A32" t="str">
            <v>E.81264</v>
          </cell>
          <cell r="B32" t="str">
            <v>G:\PUBLICO\ANTONIO PCP\imagens\Screenshot_28.bmp</v>
          </cell>
        </row>
        <row r="33">
          <cell r="A33" t="str">
            <v>E.23503</v>
          </cell>
          <cell r="B33" t="str">
            <v>G:\PUBLICO\ANTONIO PCP\imagens\Screenshot_29.bmp</v>
          </cell>
        </row>
        <row r="34">
          <cell r="A34" t="str">
            <v>Z.20572/15</v>
          </cell>
          <cell r="B34" t="str">
            <v>G:\PUBLICO\ANTONIO PCP\imagens\Screenshot_30.bmp</v>
          </cell>
        </row>
        <row r="35">
          <cell r="A35" t="str">
            <v>Z.50109/21</v>
          </cell>
          <cell r="B35" t="str">
            <v>G:\PUBLICO\ANTONIO PCP\imagens\Screenshot_31.bmp</v>
          </cell>
        </row>
        <row r="36">
          <cell r="A36" t="str">
            <v>M.1804PONT/20</v>
          </cell>
          <cell r="B36" t="str">
            <v>G:\PUBLICO\ANTONIO PCP\imagens\Screenshot_32.bmp</v>
          </cell>
        </row>
        <row r="37">
          <cell r="A37" t="str">
            <v>P.90594/03</v>
          </cell>
          <cell r="B37" t="str">
            <v>G:\PUBLICO\ANTONIO PCP\imagens\Screenshot_33.bmp</v>
          </cell>
        </row>
        <row r="38">
          <cell r="A38" t="str">
            <v>Z.50122/08</v>
          </cell>
          <cell r="B38" t="str">
            <v>G:\PUBLICO\ANTONIO PCP\imagens\Screenshot_34.bmp</v>
          </cell>
        </row>
        <row r="39">
          <cell r="A39" t="str">
            <v>E.55908</v>
          </cell>
          <cell r="B39" t="str">
            <v>G:\PUBLICO\ANTONIO PCP\imagens\Screenshot_35.bmp</v>
          </cell>
        </row>
        <row r="40">
          <cell r="A40" t="str">
            <v>E.87390</v>
          </cell>
          <cell r="B40" t="str">
            <v>G:\PUBLICO\ANTONIO PCP\imagens\Screenshot_36.bmp</v>
          </cell>
        </row>
        <row r="41">
          <cell r="A41" t="str">
            <v>E.22044</v>
          </cell>
          <cell r="B41" t="str">
            <v>G:\PUBLICO\ANTONIO PCP\imagens\Screenshot_37.bmp</v>
          </cell>
        </row>
        <row r="42">
          <cell r="A42" t="str">
            <v>E.23449</v>
          </cell>
          <cell r="B42" t="str">
            <v>G:\PUBLICO\ANTONIO PCP\imagens\Screenshot_38.bmp</v>
          </cell>
        </row>
        <row r="43">
          <cell r="A43" t="str">
            <v>E.81498</v>
          </cell>
          <cell r="B43" t="str">
            <v>G:\PUBLICO\ANTONIO PCP\imagens\Screenshot_39.bmp</v>
          </cell>
        </row>
        <row r="44">
          <cell r="A44" t="str">
            <v>P.4065</v>
          </cell>
          <cell r="B44" t="str">
            <v>G:\PUBLICO\ANTONIO PCP\imagens\Screenshot_40.bmp</v>
          </cell>
        </row>
        <row r="45">
          <cell r="A45" t="str">
            <v>Z.60228P1-BAL/10</v>
          </cell>
          <cell r="B45" t="str">
            <v>G:\PUBLICO\ANTONIO PCP\imagens\Screenshot_41.bmp</v>
          </cell>
        </row>
        <row r="46">
          <cell r="A46" t="str">
            <v>P.9004</v>
          </cell>
          <cell r="B46" t="str">
            <v>G:\PUBLICO\ANTONIO PCP\imagens\Screenshot_42.bmp</v>
          </cell>
        </row>
        <row r="47">
          <cell r="A47" t="str">
            <v>Z.30131RF/14</v>
          </cell>
          <cell r="B47" t="str">
            <v>G:\PUBLICO\ANTONIO PCP\imagens\Screenshot_43.bmp</v>
          </cell>
        </row>
        <row r="48">
          <cell r="A48" t="str">
            <v>E.81160</v>
          </cell>
          <cell r="B48" t="str">
            <v>G:\PUBLICO\ANTONIO PCP\imagens\Screenshot_44.bmp</v>
          </cell>
        </row>
        <row r="49">
          <cell r="A49" t="str">
            <v>E.23436</v>
          </cell>
          <cell r="B49" t="str">
            <v>G:\PUBLICO\ANTONIO PCP\imagens\Screenshot_45.bmp</v>
          </cell>
        </row>
        <row r="50">
          <cell r="A50" t="str">
            <v>Z.3988/08</v>
          </cell>
          <cell r="B50" t="str">
            <v>G:\PUBLICO\ANTONIO PCP\imagens\Screenshot_46.bmp</v>
          </cell>
        </row>
        <row r="51">
          <cell r="A51" t="str">
            <v>E.81535</v>
          </cell>
          <cell r="B51" t="str">
            <v>G:\PUBLICO\ANTONIO PCP\imagens\Screenshot_47.bmp</v>
          </cell>
        </row>
        <row r="52">
          <cell r="A52" t="str">
            <v>E.89746</v>
          </cell>
          <cell r="B52" t="str">
            <v>G:\PUBLICO\ANTONIO PCP\imagens\Screenshot_48.bmp</v>
          </cell>
        </row>
        <row r="53">
          <cell r="A53" t="str">
            <v>E.81646</v>
          </cell>
          <cell r="B53" t="str">
            <v>G:\PUBLICO\ANTONIO PCP\imagens\Screenshot_49.bmp</v>
          </cell>
        </row>
        <row r="54">
          <cell r="A54" t="str">
            <v>E.81267</v>
          </cell>
          <cell r="B54" t="str">
            <v>G:\PUBLICO\ANTONIO PCP\imagens\Screenshot_50.bmp</v>
          </cell>
        </row>
        <row r="55">
          <cell r="A55" t="str">
            <v>E.81288</v>
          </cell>
          <cell r="B55" t="str">
            <v>G:\PUBLICO\ANTONIO PCP\imagens\Screenshot_51.bmp</v>
          </cell>
        </row>
        <row r="56">
          <cell r="A56" t="str">
            <v>E.22977</v>
          </cell>
          <cell r="B56" t="str">
            <v>G:\PUBLICO\ANTONIO PCP\imagens\Screenshot_52.bmp</v>
          </cell>
        </row>
        <row r="57">
          <cell r="A57" t="str">
            <v>E.89867</v>
          </cell>
          <cell r="B57" t="str">
            <v>G:\PUBLICO\ANTONIO PCP\imagens\Screenshot_53.bmp</v>
          </cell>
        </row>
        <row r="58">
          <cell r="A58" t="str">
            <v>E.88851</v>
          </cell>
          <cell r="B58" t="str">
            <v>G:\PUBLICO\ANTONIO PCP\imagens\Screenshot_54.bmp</v>
          </cell>
        </row>
        <row r="59">
          <cell r="A59" t="str">
            <v>P.0766</v>
          </cell>
          <cell r="B59" t="str">
            <v>G:\PUBLICO\ANTONIO PCP\imagens\Screenshot_55.bmp</v>
          </cell>
        </row>
        <row r="60">
          <cell r="A60" t="str">
            <v>P.5839     COM/PINO</v>
          </cell>
          <cell r="B60" t="str">
            <v>G:\PUBLICO\ANTONIO PCP\imagens\Screenshot_56.bmp</v>
          </cell>
        </row>
        <row r="61">
          <cell r="A61" t="str">
            <v>Z.20242/11</v>
          </cell>
          <cell r="B61" t="str">
            <v>G:\PUBLICO\ANTONIO PCP\imagens\Screenshot_57.bmp</v>
          </cell>
        </row>
        <row r="62">
          <cell r="A62" t="str">
            <v>Z.6100RL/10</v>
          </cell>
          <cell r="B62" t="str">
            <v>G:\PUBLICO\ANTONIO PCP\imagens\Screenshot_58.bmp</v>
          </cell>
        </row>
        <row r="63">
          <cell r="A63" t="str">
            <v>Z.50084/07</v>
          </cell>
          <cell r="B63" t="str">
            <v>G:\PUBLICO\ANTONIO PCP\imagens\Screenshot_59.bmp</v>
          </cell>
        </row>
        <row r="64">
          <cell r="A64" t="str">
            <v>E.23556</v>
          </cell>
          <cell r="B64" t="str">
            <v>G:\PUBLICO\ANTONIO PCP\imagens\Screenshot_60.bmp</v>
          </cell>
        </row>
        <row r="65">
          <cell r="A65" t="str">
            <v>E.72177P3-BAL</v>
          </cell>
          <cell r="B65" t="str">
            <v>G:\PUBLICO\ANTONIO PCP\imagens\Screenshot_61.bmp</v>
          </cell>
        </row>
        <row r="66">
          <cell r="A66" t="str">
            <v>E.81507</v>
          </cell>
          <cell r="B66" t="str">
            <v>G:\PUBLICO\ANTONIO PCP\imagens\Screenshot_62.bmp</v>
          </cell>
        </row>
        <row r="67">
          <cell r="A67" t="str">
            <v>E.43696</v>
          </cell>
          <cell r="B67" t="str">
            <v>G:\PUBLICO\ANTONIO PCP\imagens\Screenshot_63.bmp</v>
          </cell>
        </row>
        <row r="68">
          <cell r="A68" t="str">
            <v>E.89349</v>
          </cell>
          <cell r="B68" t="str">
            <v>G:\PUBLICO\ANTONIO PCP\imagens\Screenshot_64.bmp</v>
          </cell>
        </row>
        <row r="69">
          <cell r="A69" t="str">
            <v>E.43687</v>
          </cell>
          <cell r="B69" t="str">
            <v>G:\PUBLICO\ANTONIO PCP\imagens\Screenshot_65.bmp</v>
          </cell>
        </row>
        <row r="70">
          <cell r="A70" t="str">
            <v>E.43555</v>
          </cell>
          <cell r="B70" t="str">
            <v>G:\PUBLICO\ANTONIO PCP\imagens\Screenshot_66.bmp</v>
          </cell>
        </row>
        <row r="71">
          <cell r="A71" t="str">
            <v>P.90077/08</v>
          </cell>
          <cell r="B71" t="str">
            <v>G:\PUBLICO\ANTONIO PCP\imagens\Screenshot_67.bmp</v>
          </cell>
        </row>
        <row r="72">
          <cell r="A72" t="str">
            <v>Z.60672/09</v>
          </cell>
          <cell r="B72" t="str">
            <v>G:\PUBLICO\ANTONIO PCP\imagens\Screenshot_68.bmp</v>
          </cell>
        </row>
        <row r="73">
          <cell r="A73" t="str">
            <v>M.1810P1</v>
          </cell>
          <cell r="B73" t="str">
            <v>G:\PUBLICO\ANTONIO PCP\imagens\Screenshot_69.bmp</v>
          </cell>
        </row>
        <row r="74">
          <cell r="A74" t="str">
            <v>E.43693</v>
          </cell>
          <cell r="B74" t="str">
            <v>G:\PUBLICO\ANTONIO PCP\imagens\Screenshot_70.bmp</v>
          </cell>
        </row>
        <row r="75">
          <cell r="A75" t="str">
            <v>E.5294</v>
          </cell>
          <cell r="B75" t="str">
            <v>G:\PUBLICO\ANTONIO PCP\imagens\Screenshot_71.bmp</v>
          </cell>
        </row>
        <row r="76">
          <cell r="A76" t="str">
            <v>M.1810P2</v>
          </cell>
          <cell r="B76" t="str">
            <v>G:\PUBLICO\ANTONIO PCP\imagens\Screenshot_72.bmp</v>
          </cell>
        </row>
        <row r="77">
          <cell r="A77" t="str">
            <v>Z.60168PC2/35</v>
          </cell>
          <cell r="B77" t="str">
            <v>G:\PUBLICO\ANTONIO PCP\imagens\Screenshot_73.bmp</v>
          </cell>
        </row>
        <row r="78">
          <cell r="A78" t="str">
            <v>E.22923</v>
          </cell>
          <cell r="B78" t="str">
            <v>G:\PUBLICO\ANTONIO PCP\imagens\Screenshot_74.bmp</v>
          </cell>
        </row>
        <row r="79">
          <cell r="A79" t="str">
            <v>E.72177P1</v>
          </cell>
          <cell r="B79" t="str">
            <v>G:\PUBLICO\ANTONIO PCP\imagens\Screenshot_75.bmp</v>
          </cell>
        </row>
        <row r="80">
          <cell r="A80" t="str">
            <v>Z.4200/08</v>
          </cell>
          <cell r="B80" t="str">
            <v>G:\PUBLICO\ANTONIO PCP\imagens\Screenshot_76.bmp</v>
          </cell>
        </row>
        <row r="81">
          <cell r="A81" t="str">
            <v>M.1811P3</v>
          </cell>
          <cell r="B81" t="str">
            <v>G:\PUBLICO\ANTONIO PCP\imagens\Screenshot_77.bmp</v>
          </cell>
        </row>
        <row r="82">
          <cell r="A82" t="str">
            <v>M.1810P3/16</v>
          </cell>
          <cell r="B82" t="str">
            <v>G:\PUBLICO\ANTONIO PCP\imagens\Screenshot_77.bmp</v>
          </cell>
        </row>
        <row r="83">
          <cell r="A83" t="str">
            <v>Z.10496/10</v>
          </cell>
          <cell r="B83" t="str">
            <v>G:\PUBLICO\ANTONIO PCP\imagens\Screenshot_78.bmp</v>
          </cell>
        </row>
        <row r="84">
          <cell r="A84" t="str">
            <v>E.23543</v>
          </cell>
          <cell r="B84" t="str">
            <v>G:\PUBLICO\ANTONIO PCP\imagens\Screenshot_79.bmp</v>
          </cell>
        </row>
        <row r="85">
          <cell r="A85" t="str">
            <v>SA.PON086-DIR</v>
          </cell>
          <cell r="B85" t="str">
            <v>G:\PUBLICO\ANTONIO PCP\imagens\Screenshot_80.bmp</v>
          </cell>
        </row>
        <row r="86">
          <cell r="A86" t="str">
            <v>E.43560</v>
          </cell>
          <cell r="B86" t="str">
            <v>G:\PUBLICO\ANTONIO PCP\imagens\Screenshot_81.bmp</v>
          </cell>
        </row>
        <row r="87">
          <cell r="A87" t="str">
            <v>E.23544</v>
          </cell>
          <cell r="B87" t="str">
            <v>G:\PUBLICO\ANTONIO PCP\imagens\Screenshot_82.bmp</v>
          </cell>
        </row>
        <row r="88">
          <cell r="A88" t="str">
            <v>Z.10708/14</v>
          </cell>
          <cell r="B88" t="str">
            <v>G:\PUBLICO\ANTONIO PCP\imagens\Screenshot_83.bmp</v>
          </cell>
        </row>
        <row r="89">
          <cell r="A89" t="str">
            <v>Z.9845/20</v>
          </cell>
          <cell r="B89" t="str">
            <v>G:\PUBLICO\ANTONIO PCP\imagens\Screenshot_84.bmp</v>
          </cell>
        </row>
        <row r="90">
          <cell r="A90" t="str">
            <v>Z.10263/08</v>
          </cell>
          <cell r="B90" t="str">
            <v>G:\PUBLICO\ANTONIO PCP\imagens\Screenshot_85.bmp</v>
          </cell>
        </row>
        <row r="91">
          <cell r="A91" t="str">
            <v>E.43687</v>
          </cell>
          <cell r="B91" t="str">
            <v>G:\PUBLICO\ANTONIO PCP\imagens\Screenshot_86.bmp</v>
          </cell>
        </row>
        <row r="92">
          <cell r="A92" t="str">
            <v>E.81658</v>
          </cell>
          <cell r="B92" t="str">
            <v>G:\PUBLICO\ANTONIO PCP\imagens\Screenshot_87.bmp</v>
          </cell>
        </row>
        <row r="93">
          <cell r="A93" t="str">
            <v>E.81563</v>
          </cell>
          <cell r="B93" t="str">
            <v>G:\PUBLICO\ANTONIO PCP\imagens\Screenshot_88.bmp</v>
          </cell>
        </row>
        <row r="94">
          <cell r="A94" t="str">
            <v>E.88813</v>
          </cell>
          <cell r="B94" t="str">
            <v>G:\PUBLICO\ANTONIO PCP\imagens\Screenshot_89.bmp</v>
          </cell>
        </row>
        <row r="95">
          <cell r="A95" t="str">
            <v>P.4199</v>
          </cell>
          <cell r="B95" t="str">
            <v>G:\PUBLICO\ANTONIO PCP\imagens\Screenshot_90.bmp</v>
          </cell>
        </row>
        <row r="96">
          <cell r="A96" t="str">
            <v>E.43084P2</v>
          </cell>
          <cell r="B96" t="str">
            <v>G:\PUBLICO\ANTONIO PCP\imagens\Screenshot_91.bmp</v>
          </cell>
        </row>
        <row r="97">
          <cell r="A97" t="str">
            <v>E.72078</v>
          </cell>
          <cell r="B97" t="str">
            <v>G:\PUBLICO\ANTONIO PCP\imagens\Screenshot_92.bmp</v>
          </cell>
        </row>
        <row r="98">
          <cell r="A98" t="str">
            <v>SAZ.30131RF/14</v>
          </cell>
          <cell r="B98" t="str">
            <v>G:\PUBLICO\ANTONIO PCP\imagens\Screenshot_93.bmp</v>
          </cell>
        </row>
        <row r="99">
          <cell r="A99" t="str">
            <v>P.90376/14</v>
          </cell>
          <cell r="B99" t="str">
            <v>G:\PUBLICO\ANTONIO PCP\imagens\Screenshot_94.bmp</v>
          </cell>
        </row>
        <row r="100">
          <cell r="A100" t="str">
            <v>E.88537</v>
          </cell>
          <cell r="B100" t="str">
            <v>G:\PUBLICO\ANTONIO PCP\imagens\Screenshot_95.bmp</v>
          </cell>
        </row>
        <row r="101">
          <cell r="A101" t="str">
            <v>E.43629</v>
          </cell>
          <cell r="B101" t="str">
            <v>G:\PUBLICO\ANTONIO PCP\imagens\Screenshot_96.bmp</v>
          </cell>
        </row>
        <row r="102">
          <cell r="A102" t="str">
            <v>E.22129</v>
          </cell>
          <cell r="B102" t="str">
            <v>G:\PUBLICO\ANTONIO PCP\imagens\Screenshot_97.bmp</v>
          </cell>
        </row>
        <row r="103">
          <cell r="A103" t="str">
            <v>E.23551</v>
          </cell>
          <cell r="B103" t="str">
            <v>G:\PUBLICO\ANTONIO PCP\imagens\Screenshot_98.bmp</v>
          </cell>
        </row>
        <row r="104">
          <cell r="A104" t="str">
            <v>E.23550</v>
          </cell>
          <cell r="B104" t="str">
            <v>G:\PUBLICO\ANTONIO PCP\imagens\Screenshot_99.bmp</v>
          </cell>
        </row>
        <row r="105">
          <cell r="A105" t="str">
            <v>E.81670</v>
          </cell>
          <cell r="B105" t="str">
            <v>G:\PUBLICO\ANTONIO PCP\imagens\Screenshot_100.bmp</v>
          </cell>
        </row>
        <row r="106">
          <cell r="A106" t="str">
            <v>P.90376/10</v>
          </cell>
          <cell r="B106" t="str">
            <v>G:\PUBLICO\ANTONIO PCP\imagens\Screenshot_101.bmp</v>
          </cell>
        </row>
        <row r="107">
          <cell r="A107" t="str">
            <v>P.90578/20</v>
          </cell>
          <cell r="B107" t="str">
            <v>G:\PUBLICO\ANTONIO PCP\imagens\Screenshot_102.bmp</v>
          </cell>
        </row>
        <row r="108">
          <cell r="A108" t="str">
            <v>Z.0256/11</v>
          </cell>
          <cell r="B108" t="str">
            <v>G:\PUBLICO\ANTONIO PCP\imagens\Screenshot_103.bmp</v>
          </cell>
        </row>
        <row r="109">
          <cell r="A109" t="str">
            <v>H.E43268</v>
          </cell>
          <cell r="B109" t="str">
            <v>G:\PUBLICO\ANTONIO PCP\imagens\Screenshot_104.bmp</v>
          </cell>
        </row>
        <row r="110">
          <cell r="A110" t="str">
            <v>Z.20638/10</v>
          </cell>
          <cell r="B110" t="str">
            <v>G:\PUBLICO\ANTONIO PCP\imagens\Screenshot_105.bmp</v>
          </cell>
        </row>
        <row r="111">
          <cell r="A111" t="str">
            <v>E.4050P1</v>
          </cell>
          <cell r="B111" t="str">
            <v>G:\PUBLICO\ANTONIO PCP\imagens\Screenshot_106.bmp</v>
          </cell>
        </row>
        <row r="112">
          <cell r="A112" t="str">
            <v>Z.5490/08</v>
          </cell>
          <cell r="B112" t="str">
            <v>G:\PUBLICO\ANTONIO PCP\imagens\Screenshot_107.bmp</v>
          </cell>
        </row>
        <row r="113">
          <cell r="A113" t="str">
            <v>Z.10708/10</v>
          </cell>
          <cell r="B113" t="str">
            <v>G:\PUBLICO\ANTONIO PCP\imagens\Screenshot_108.bmp</v>
          </cell>
        </row>
        <row r="114">
          <cell r="A114" t="str">
            <v>E.88170</v>
          </cell>
          <cell r="B114" t="str">
            <v>G:\PUBLICO\ANTONIO PCP\imagens\Screenshot_109.bmp</v>
          </cell>
        </row>
        <row r="115">
          <cell r="A115" t="str">
            <v>Z.10228/10</v>
          </cell>
          <cell r="B115" t="str">
            <v>G:\PUBLICO\ANTONIO PCP\imagens\Screenshot_110.bmp</v>
          </cell>
        </row>
        <row r="116">
          <cell r="A116" t="str">
            <v>E.22407</v>
          </cell>
          <cell r="B116" t="str">
            <v>G:\PUBLICO\ANTONIO PCP\imagens\Screenshot_111.bmp</v>
          </cell>
        </row>
        <row r="117">
          <cell r="A117" t="str">
            <v>Z.1600/09</v>
          </cell>
          <cell r="B117" t="str">
            <v>G:\PUBLICO\ANTONIO PCP\imagens\Screenshot_112.bmp</v>
          </cell>
        </row>
        <row r="118">
          <cell r="A118" t="str">
            <v>Z.1600/10</v>
          </cell>
          <cell r="B118" t="str">
            <v>G:\PUBLICO\ANTONIO PCP\imagens\Screenshot_113.bmp</v>
          </cell>
        </row>
        <row r="119">
          <cell r="A119" t="str">
            <v>SA.1260PC</v>
          </cell>
          <cell r="B119" t="str">
            <v>G:\PUBLICO\ANTONIO PCP\imagens\Screenshot_114.bmp</v>
          </cell>
        </row>
        <row r="120">
          <cell r="A120" t="str">
            <v>SA.1250PC</v>
          </cell>
          <cell r="B120" t="str">
            <v>G:\PUBLICO\ANTONIO PCP\imagens\Screenshot_115.bmp</v>
          </cell>
        </row>
        <row r="121">
          <cell r="A121" t="str">
            <v>SA.1047</v>
          </cell>
          <cell r="B121" t="str">
            <v>G:\PUBLICO\ANTONIO PCP\imagens\Screenshot_116.bmp</v>
          </cell>
        </row>
        <row r="122">
          <cell r="A122" t="str">
            <v>SA.1025</v>
          </cell>
          <cell r="B122" t="str">
            <v>G:\PUBLICO\ANTONIO PCP\imagens\Screenshot_117.bmp</v>
          </cell>
        </row>
        <row r="123">
          <cell r="A123" t="str">
            <v>SA.3700</v>
          </cell>
          <cell r="B123" t="str">
            <v>G:\PUBLICO\ANTONIO PCP\imagens\Screenshot_118.bmp</v>
          </cell>
        </row>
        <row r="124">
          <cell r="A124" t="str">
            <v>ALT.4443607</v>
          </cell>
          <cell r="B124" t="str">
            <v>G:\PUBLICO\ANTONIO PCP\imagens\Screenshot_119.bmp</v>
          </cell>
        </row>
        <row r="125">
          <cell r="A125" t="str">
            <v>SA.1180/256</v>
          </cell>
          <cell r="B125" t="str">
            <v>G:\PUBLICO\ANTONIO PCP\imagens\Screenshot_120.bmp</v>
          </cell>
        </row>
        <row r="126">
          <cell r="A126" t="str">
            <v>SA.6100/256</v>
          </cell>
          <cell r="B126" t="str">
            <v>G:\PUBLICO\ANTONIO PCP\imagens\Screenshot_121.bmp</v>
          </cell>
        </row>
        <row r="127">
          <cell r="A127" t="str">
            <v>SA.3301/192</v>
          </cell>
          <cell r="B127" t="str">
            <v>G:\PUBLICO\ANTONIO PCP\imagens\Screenshot_122.bmp</v>
          </cell>
        </row>
        <row r="128">
          <cell r="A128" t="str">
            <v>SA.3800/192</v>
          </cell>
          <cell r="B128" t="str">
            <v>G:\PUBLICO\ANTONIO PCP\imagens\Screenshot_123.bmp</v>
          </cell>
        </row>
        <row r="129">
          <cell r="A129" t="str">
            <v>SA.3350/192</v>
          </cell>
          <cell r="B129" t="str">
            <v>G:\PUBLICO\ANTONIO PCP\imagens\Screenshot_124.bmp</v>
          </cell>
        </row>
        <row r="130">
          <cell r="A130" t="str">
            <v>SA.3350/96</v>
          </cell>
          <cell r="B130" t="str">
            <v>G:\PUBLICO\ANTONIO PCP\imagens\Screenshot_125.bmp</v>
          </cell>
        </row>
        <row r="131">
          <cell r="A131" t="str">
            <v>SA.6586/64</v>
          </cell>
          <cell r="B131" t="str">
            <v>G:\PUBLICO\ANTONIO PCP\imagens\Screenshot_126.bmp</v>
          </cell>
        </row>
        <row r="132">
          <cell r="A132" t="str">
            <v>M.0601PONCOBRE</v>
          </cell>
          <cell r="B132" t="str">
            <v>G:\PUBLICO\ANTONIO PCP\imagens\Screenshot_127.bmp</v>
          </cell>
        </row>
        <row r="133">
          <cell r="A133" t="str">
            <v>P.7458</v>
          </cell>
          <cell r="B133" t="str">
            <v>G:\PUBLICO\ANTONIO PCP\imagens\Screenshot_128.bmp</v>
          </cell>
        </row>
        <row r="134">
          <cell r="A134" t="str">
            <v>Z.10228/12</v>
          </cell>
          <cell r="B134" t="str">
            <v>G:\PUBLICO\ANTONIO PCP\imagens\Screenshot_129.bmp</v>
          </cell>
        </row>
        <row r="135">
          <cell r="A135" t="str">
            <v>Z.30042RF/12</v>
          </cell>
          <cell r="B135" t="str">
            <v>G:\PUBLICO\ANTONIO PCP\imagens\Screenshot_130.bmp</v>
          </cell>
        </row>
        <row r="136">
          <cell r="A136" t="str">
            <v>E.0706</v>
          </cell>
          <cell r="B136" t="str">
            <v>G:\PUBLICO\ANTONIO PCP\imagens\Screenshot_131.bmp</v>
          </cell>
        </row>
        <row r="137">
          <cell r="A137" t="str">
            <v>E.81543</v>
          </cell>
          <cell r="B137" t="str">
            <v>G:\PUBLICO\ANTONIO PCP\imagens\Screenshot_132.bmp</v>
          </cell>
        </row>
        <row r="138">
          <cell r="A138" t="str">
            <v>Z.20636/08</v>
          </cell>
          <cell r="B138" t="str">
            <v>G:\PUBLICO\ANTONIO PCP\imagens\Screenshot_133.bmp</v>
          </cell>
        </row>
        <row r="139">
          <cell r="A139" t="str">
            <v>SA.3300/224</v>
          </cell>
          <cell r="B139" t="str">
            <v>G:\PUBLICO\ANTONIO PCP\imagens\Screenshot_134.bmp</v>
          </cell>
        </row>
        <row r="140">
          <cell r="A140" t="str">
            <v>SA.3300/96</v>
          </cell>
          <cell r="B140" t="str">
            <v>G:\PUBLICO\ANTONIO PCP\imagens\Screenshot_135.bmp</v>
          </cell>
        </row>
        <row r="141">
          <cell r="A141" t="str">
            <v>SA.1180/160</v>
          </cell>
          <cell r="B141" t="str">
            <v>G:\PUBLICO\ANTONIO PCP\imagens\Screenshot_136.bmp</v>
          </cell>
        </row>
        <row r="142">
          <cell r="A142" t="str">
            <v>SALT.7000194</v>
          </cell>
          <cell r="B142" t="str">
            <v>G:\PUBLICO\ANTONIO PCP\imagens\Screenshot_137.bmp</v>
          </cell>
        </row>
        <row r="143">
          <cell r="A143" t="str">
            <v>SALT.7000189</v>
          </cell>
          <cell r="B143" t="str">
            <v>G:\PUBLICO\ANTONIO PCP\imagens\Screenshot_138.bmp</v>
          </cell>
        </row>
        <row r="144">
          <cell r="A144" t="str">
            <v>SALT.7230100</v>
          </cell>
          <cell r="B144" t="str">
            <v>G:\PUBLICO\ANTONIO PCP\imagens\Screenshot_139.bmp</v>
          </cell>
        </row>
        <row r="145">
          <cell r="A145" t="str">
            <v>SA.3301/288</v>
          </cell>
          <cell r="B145" t="str">
            <v>G:\PUBLICO\ANTONIO PCP\imagens\Screenshot_140.bmp</v>
          </cell>
        </row>
        <row r="146">
          <cell r="A146" t="str">
            <v>SA.3145/288</v>
          </cell>
          <cell r="B146" t="str">
            <v>G:\PUBLICO\ANTONIO PCP\imagens\Screenshot_141.bmp</v>
          </cell>
        </row>
        <row r="147">
          <cell r="A147" t="str">
            <v>P.90376/12</v>
          </cell>
          <cell r="B147" t="str">
            <v>G:\PUBLICO\ANTONIO PCP\imagens\Screenshot_142.bmp</v>
          </cell>
        </row>
        <row r="148">
          <cell r="A148" t="str">
            <v>P.90592/03</v>
          </cell>
          <cell r="B148" t="str">
            <v>G:\PUBLICO\ANTONIO PCP\imagens\Screenshot_143.bmp</v>
          </cell>
        </row>
        <row r="149">
          <cell r="A149" t="str">
            <v>P.9064/08</v>
          </cell>
          <cell r="B149" t="str">
            <v>G:\PUBLICO\ANTONIO PCP\imagens\Screenshot_144.bmp</v>
          </cell>
        </row>
        <row r="150">
          <cell r="A150" t="str">
            <v>Z.2165/10</v>
          </cell>
          <cell r="B150" t="str">
            <v>G:\PUBLICO\ANTONIO PCP\imagens\Screenshot_145.bmp</v>
          </cell>
        </row>
        <row r="151">
          <cell r="A151" t="str">
            <v>E.22511</v>
          </cell>
          <cell r="B151" t="str">
            <v>G:\PUBLICO\ANTONIO PCP\imagens\Screenshot_146.bmp</v>
          </cell>
        </row>
        <row r="152">
          <cell r="A152" t="str">
            <v>E.56348</v>
          </cell>
          <cell r="B152" t="str">
            <v>G:\PUBLICO\ANTONIO PCP\imagens\Screenshot_147.bmp</v>
          </cell>
        </row>
        <row r="153">
          <cell r="A153" t="str">
            <v>PSP.90315/07</v>
          </cell>
          <cell r="B153" t="str">
            <v>G:\PUBLICO\ANTONIO PCP\imagens\Screenshot_148.bmp</v>
          </cell>
        </row>
        <row r="154">
          <cell r="A154" t="str">
            <v>E.81678</v>
          </cell>
          <cell r="B154" t="str">
            <v>G:\PUBLICO\ANTONIO PCP\imagens\Screenshot_149.bmp</v>
          </cell>
        </row>
        <row r="155">
          <cell r="A155" t="str">
            <v>P.6206</v>
          </cell>
          <cell r="B155" t="str">
            <v>G:\PUBLICO\ANTONIO PCP\imagens\Screenshot_150.bmp</v>
          </cell>
        </row>
        <row r="156">
          <cell r="A156" t="str">
            <v>PSP.90105/L</v>
          </cell>
          <cell r="B156" t="str">
            <v>G:\PUBLICO\ANTONIO PCP\imagens\Screenshot_151.bmp</v>
          </cell>
        </row>
        <row r="157">
          <cell r="A157" t="str">
            <v>E.72005</v>
          </cell>
          <cell r="B157" t="str">
            <v>G:\PUBLICO\ANTONIO PCP\imagens\Screenshot_152.bmp</v>
          </cell>
        </row>
        <row r="158">
          <cell r="A158" t="str">
            <v>Z.0351/12</v>
          </cell>
          <cell r="B158" t="str">
            <v>G:\PUBLICO\ANTONIO PCP\imagens\Screenshot_153.bmp</v>
          </cell>
        </row>
        <row r="159">
          <cell r="A159" t="str">
            <v>E.81191</v>
          </cell>
          <cell r="B159" t="str">
            <v>G:\PUBLICO\ANTONIO PCP\imagens\Screenshot_154.bmp</v>
          </cell>
        </row>
        <row r="160">
          <cell r="A160" t="str">
            <v>E.88836</v>
          </cell>
          <cell r="B160" t="str">
            <v>G:\PUBLICO\ANTONIO PCP\imagens\Screenshot_155.bmp</v>
          </cell>
        </row>
        <row r="161">
          <cell r="A161" t="str">
            <v>Z.10292/16</v>
          </cell>
          <cell r="B161" t="str">
            <v>G:\PUBLICO\ANTONIO PCP\imagens\Screenshot_156.bmp</v>
          </cell>
        </row>
        <row r="162">
          <cell r="A162" t="str">
            <v>P.8934</v>
          </cell>
          <cell r="B162" t="str">
            <v>G:\PUBLICO\ANTONIO PCP\imagens\Screenshot_157.bmp</v>
          </cell>
        </row>
        <row r="163">
          <cell r="A163" t="str">
            <v>Z.9849/16</v>
          </cell>
          <cell r="B163" t="str">
            <v>G:\PUBLICO\ANTONIO PCP\imagens\Screenshot_158.bmp</v>
          </cell>
        </row>
        <row r="164">
          <cell r="A164" t="str">
            <v>P.90440/03</v>
          </cell>
          <cell r="B164" t="str">
            <v>G:\PUBLICO\ANTONIO PCP\imagens\Screenshot_159.bmp</v>
          </cell>
        </row>
        <row r="165">
          <cell r="A165" t="str">
            <v>Z.20597RF/22</v>
          </cell>
          <cell r="B165" t="str">
            <v>G:\PUBLICO\ANTONIO PCP\imagens\Screenshot_160.bmp</v>
          </cell>
        </row>
        <row r="166">
          <cell r="A166" t="str">
            <v>P.0519</v>
          </cell>
          <cell r="B166" t="str">
            <v>G:\PUBLICO\ANTONIO PCP\imagens\Screenshot_161.bmp</v>
          </cell>
        </row>
        <row r="167">
          <cell r="A167" t="str">
            <v>SA.E43117</v>
          </cell>
          <cell r="B167" t="str">
            <v>G:\PUBLICO\ANTONIO PCP\imagens\Screenshot_162.bmp</v>
          </cell>
        </row>
        <row r="168">
          <cell r="A168" t="str">
            <v>E.81674</v>
          </cell>
          <cell r="B168" t="str">
            <v>G:\PUBLICO\ANTONIO PCP\imagens\Screenshot_163.bmp</v>
          </cell>
        </row>
        <row r="169">
          <cell r="A169" t="str">
            <v>E.43720</v>
          </cell>
          <cell r="B169" t="str">
            <v>G:\PUBLICO\ANTONIO PCP\imagens\Screenshot_164.bmp</v>
          </cell>
        </row>
        <row r="170">
          <cell r="A170" t="str">
            <v>E.43215</v>
          </cell>
          <cell r="B170" t="str">
            <v>G:\PUBLICO\ANTONIO PCP\imagens\Screenshot_165.bmp</v>
          </cell>
        </row>
        <row r="171">
          <cell r="A171" t="str">
            <v>E.72263P1-COB</v>
          </cell>
          <cell r="B171" t="str">
            <v>G:\PUBLICO\ANTONIO PCP\imagens\Screenshot_166.bmp</v>
          </cell>
        </row>
        <row r="172">
          <cell r="A172" t="str">
            <v>SALT.8310675</v>
          </cell>
          <cell r="B172" t="str">
            <v>G:\PUBLICO\ANTONIO PCP\imagens\Screenshot_167.bmp</v>
          </cell>
        </row>
        <row r="173">
          <cell r="A173" t="str">
            <v>Z.20620/12</v>
          </cell>
          <cell r="B173" t="str">
            <v>G:\PUBLICO\ANTONIO PCP\imagens\Screenshot_168.bmp</v>
          </cell>
        </row>
        <row r="174">
          <cell r="A174" t="str">
            <v>SAZ.50298/10</v>
          </cell>
          <cell r="B174" t="str">
            <v>G:\PUBLICO\ANTONIO PCP\imagens\Screenshot_169.bmp</v>
          </cell>
        </row>
        <row r="175">
          <cell r="A175" t="str">
            <v>P.2209</v>
          </cell>
          <cell r="B175" t="str">
            <v>G:\PUBLICO\ANTONIO PCP\imagens\Screenshot_170.bmp</v>
          </cell>
        </row>
        <row r="176">
          <cell r="A176" t="str">
            <v>P.7144</v>
          </cell>
          <cell r="B176" t="str">
            <v>G:\PUBLICO\ANTONIO PCP\imagens\Screenshot_171.bmp</v>
          </cell>
        </row>
        <row r="177">
          <cell r="A177" t="str">
            <v>E.89369</v>
          </cell>
          <cell r="B177" t="str">
            <v>G:\PUBLICO\ANTONIO PCP\imagens\Screenshot_172.bmp</v>
          </cell>
        </row>
        <row r="178">
          <cell r="A178" t="str">
            <v>E.81640</v>
          </cell>
          <cell r="B178" t="str">
            <v>G:\PUBLICO\ANTONIO PCP\imagens\Screenshot_173.bmp</v>
          </cell>
        </row>
        <row r="179">
          <cell r="A179" t="str">
            <v>Z.1600/07</v>
          </cell>
          <cell r="B179" t="str">
            <v>G:\PUBLICO\ANTONIO PCP\imagens\Screenshot_174.bmp</v>
          </cell>
        </row>
        <row r="180">
          <cell r="A180" t="str">
            <v>SALT.33310XX</v>
          </cell>
          <cell r="B180" t="str">
            <v>G:\PUBLICO\ANTONIO PCP\imagens\Screenshot_175.bmp</v>
          </cell>
        </row>
        <row r="181">
          <cell r="A181" t="str">
            <v>SALT.28231XX</v>
          </cell>
          <cell r="B181" t="str">
            <v>G:\PUBLICO\ANTONIO PCP\imagens\Screenshot_176.bmp</v>
          </cell>
        </row>
        <row r="182">
          <cell r="A182" t="str">
            <v>SA.1029</v>
          </cell>
          <cell r="B182" t="str">
            <v>G:\PUBLICO\ANTONIO PCP\imagens\Screenshot_177.bmp</v>
          </cell>
        </row>
        <row r="183">
          <cell r="A183" t="str">
            <v>SAVT.X07035335</v>
          </cell>
          <cell r="B183" t="str">
            <v>G:\PUBLICO\ANTONIO PCP\imagens\Screenshot_178.bmp</v>
          </cell>
        </row>
        <row r="184">
          <cell r="A184" t="str">
            <v>SA.1140</v>
          </cell>
          <cell r="B184" t="str">
            <v>G:\PUBLICO\ANTONIO PCP\imagens\Screenshot_179.bmp</v>
          </cell>
        </row>
        <row r="185">
          <cell r="A185" t="str">
            <v>Z.30131-PC/14</v>
          </cell>
          <cell r="B185" t="str">
            <v>G:\PUBLICO\ANTONIO PCP\imagens\Screenshot_180.bmp</v>
          </cell>
        </row>
        <row r="186">
          <cell r="A186" t="str">
            <v>SALT.8519397</v>
          </cell>
          <cell r="B186" t="str">
            <v>G:\PUBLICO\ANTONIO PCP\imagens\Screenshot_181.bmp</v>
          </cell>
        </row>
        <row r="187">
          <cell r="A187" t="str">
            <v>SALT.7230116</v>
          </cell>
          <cell r="B187" t="str">
            <v>G:\PUBLICO\ANTONIO PCP\imagens\Screenshot_182.bmp</v>
          </cell>
        </row>
        <row r="188">
          <cell r="A188" t="str">
            <v>PCVT.3Z0052CW1</v>
          </cell>
          <cell r="B188" t="str">
            <v>G:\PUBLICO\ANTONIO PCP\imagens\Screenshot_183.bmp</v>
          </cell>
        </row>
        <row r="189">
          <cell r="A189" t="str">
            <v>E.81040</v>
          </cell>
          <cell r="B189" t="str">
            <v>G:\PUBLICO\ANTONIO PCP\imagens\Screenshot_184.bmp</v>
          </cell>
        </row>
        <row r="190">
          <cell r="A190" t="str">
            <v>Z.0254/20</v>
          </cell>
          <cell r="B190" t="str">
            <v>G:\PUBLICO\ANTONIO PCP\imagens\Screenshot_185.bmp</v>
          </cell>
        </row>
        <row r="191">
          <cell r="A191" t="str">
            <v>P.7510</v>
          </cell>
          <cell r="B191" t="str">
            <v>G:\PUBLICO\ANTONIO PCP\imagens\Screenshot_186.bmp</v>
          </cell>
        </row>
        <row r="192">
          <cell r="A192" t="str">
            <v>Z.10077/20</v>
          </cell>
          <cell r="B192" t="str">
            <v>G:\PUBLICO\ANTONIO PCP\imagens\Screenshot_187.bmp</v>
          </cell>
        </row>
        <row r="193">
          <cell r="A193" t="str">
            <v>P.1353</v>
          </cell>
          <cell r="B193" t="str">
            <v>G:\PUBLICO\ANTONIO PCP\imagens\Screenshot_188.bmp</v>
          </cell>
        </row>
        <row r="194">
          <cell r="A194" t="str">
            <v>Z.10708/06</v>
          </cell>
          <cell r="B194" t="str">
            <v>G:\PUBLICO\ANTONIO PCP\imagens\Screenshot_189.bmp</v>
          </cell>
        </row>
        <row r="195">
          <cell r="A195" t="str">
            <v>SALT.33511XX</v>
          </cell>
          <cell r="B195" t="str">
            <v>G:\PUBLICO\ANTONIO PCP\imagens\Screenshot_190.bmp</v>
          </cell>
        </row>
        <row r="196">
          <cell r="A196" t="str">
            <v>SA.3200/256</v>
          </cell>
          <cell r="B196" t="str">
            <v>G:\PUBLICO\ANTONIO PCP\imagens\Screenshot_191.bmp</v>
          </cell>
        </row>
        <row r="197">
          <cell r="A197" t="str">
            <v>SA.1022</v>
          </cell>
          <cell r="B197" t="str">
            <v>G:\PUBLICO\ANTONIO PCP\imagens\Screenshot_192.bmp</v>
          </cell>
        </row>
        <row r="198">
          <cell r="A198" t="str">
            <v>SA.1600/64</v>
          </cell>
          <cell r="B198" t="str">
            <v>G:\PUBLICO\ANTONIO PCP\imagens\Screenshot_193.bmp</v>
          </cell>
        </row>
        <row r="199">
          <cell r="A199" t="str">
            <v>SA.1605/64</v>
          </cell>
          <cell r="B199" t="str">
            <v>G:\PUBLICO\ANTONIO PCP\imagens\Screenshot_194.bmp</v>
          </cell>
        </row>
        <row r="200">
          <cell r="A200" t="str">
            <v>P.90417/03</v>
          </cell>
          <cell r="B200" t="str">
            <v>G:\PUBLICO\ANTONIO PCP\imagens\Screenshot_195.bmp</v>
          </cell>
        </row>
        <row r="201">
          <cell r="A201" t="str">
            <v>E.69564P3COB</v>
          </cell>
          <cell r="B201" t="str">
            <v>G:\PUBLICO\ANTONIO PCP\imagens\Screenshot_196.bmp</v>
          </cell>
        </row>
        <row r="202">
          <cell r="A202" t="str">
            <v>E.21377</v>
          </cell>
          <cell r="B202" t="str">
            <v>G:\PUBLICO\ANTONIO PCP\imagens\Screenshot_197.bmp</v>
          </cell>
        </row>
        <row r="203">
          <cell r="A203" t="str">
            <v>P.90077/10</v>
          </cell>
          <cell r="B203" t="str">
            <v>G:\PUBLICO\ANTONIO PCP\imagens\Screenshot_198.bmp</v>
          </cell>
        </row>
        <row r="204">
          <cell r="A204" t="str">
            <v>E.81692</v>
          </cell>
          <cell r="B204" t="str">
            <v>G:\PUBLICO\ANTONIO PCP\imagens\Screenshot_199.bmp</v>
          </cell>
        </row>
        <row r="205">
          <cell r="A205" t="str">
            <v>PSP.90105/Q</v>
          </cell>
          <cell r="B205" t="str">
            <v>G:\PUBLICO\ANTONIO PCP\imagens\Screenshot_200.bmp</v>
          </cell>
        </row>
        <row r="206">
          <cell r="A206" t="str">
            <v>E.88743</v>
          </cell>
          <cell r="B206" t="str">
            <v>G:\PUBLICO\ANTONIO PCP\imagens\Screenshot_201.bmp</v>
          </cell>
        </row>
        <row r="207">
          <cell r="A207" t="str">
            <v>E.22749</v>
          </cell>
          <cell r="B207" t="str">
            <v>G:\PUBLICO\ANTONIO PCP\imagens\Screenshot_202.bmp</v>
          </cell>
        </row>
        <row r="208">
          <cell r="A208" t="str">
            <v>E.43640</v>
          </cell>
          <cell r="B208" t="str">
            <v>G:\PUBLICO\ANTONIO PCP\imagens\Screenshot_203.bmp</v>
          </cell>
        </row>
        <row r="209">
          <cell r="A209" t="str">
            <v>E.88755</v>
          </cell>
          <cell r="B209" t="str">
            <v>G:\PUBLICO\ANTONIO PCP\imagens\Screenshot_204.bmp</v>
          </cell>
        </row>
        <row r="210">
          <cell r="A210" t="str">
            <v>E.43032</v>
          </cell>
          <cell r="B210" t="str">
            <v>G:\PUBLICO\ANTONIO PCP\imagens\Screenshot_205.bmp</v>
          </cell>
        </row>
        <row r="211">
          <cell r="A211" t="str">
            <v>E.88755P1-BAL</v>
          </cell>
          <cell r="B211" t="str">
            <v>G:\PUBLICO\ANTONIO PCP\imagens\Screenshot_206.bmp</v>
          </cell>
        </row>
        <row r="212">
          <cell r="A212" t="str">
            <v>Z.0345/20</v>
          </cell>
          <cell r="B212" t="str">
            <v>G:\PUBLICO\ANTONIO PCP\imagens\Screenshot_207.bmp</v>
          </cell>
        </row>
        <row r="213">
          <cell r="A213" t="str">
            <v>E.43694</v>
          </cell>
          <cell r="B213" t="str">
            <v>G:\PUBLICO\ANTONIO PCP\imagens\Screenshot_208.bmp</v>
          </cell>
        </row>
        <row r="214">
          <cell r="A214" t="str">
            <v>SA.1085</v>
          </cell>
          <cell r="B214" t="str">
            <v>G:\PUBLICO\ANTONIO PCP\imagens\Screenshot_209.bmp</v>
          </cell>
        </row>
        <row r="215">
          <cell r="A215" t="str">
            <v>SA.6586/160</v>
          </cell>
          <cell r="B215" t="str">
            <v>G:\PUBLICO\ANTONIO PCP\imagens\Screenshot_210.bmp</v>
          </cell>
        </row>
        <row r="216">
          <cell r="A216" t="str">
            <v>Z.30010/08</v>
          </cell>
          <cell r="B216" t="str">
            <v>G:\PUBLICO\ANTONIO PCP\imagens\Screenshot_211.bmp</v>
          </cell>
        </row>
        <row r="217">
          <cell r="A217" t="str">
            <v>E.55866</v>
          </cell>
          <cell r="B217" t="str">
            <v>G:\PUBLICO\ANTONIO PCP\imagens\Screenshot_212.bmp</v>
          </cell>
        </row>
        <row r="218">
          <cell r="A218" t="str">
            <v>PON.072</v>
          </cell>
          <cell r="B218" t="str">
            <v>G:\PUBLICO\ANTONIO PCP\imagens\Screenshot_213.bmp</v>
          </cell>
        </row>
        <row r="219">
          <cell r="A219" t="str">
            <v>SA.1125/32</v>
          </cell>
          <cell r="B219" t="str">
            <v>G:\PUBLICO\ANTONIO PCP\imagens\Screenshot_214.bmp</v>
          </cell>
        </row>
        <row r="220">
          <cell r="A220" t="str">
            <v>SA.3301/128</v>
          </cell>
          <cell r="B220" t="str">
            <v>G:\PUBLICO\ANTONIO PCP\imagens\Screenshot_215.bmp</v>
          </cell>
        </row>
        <row r="221">
          <cell r="A221" t="str">
            <v>E.22246</v>
          </cell>
          <cell r="B221" t="str">
            <v>G:\PUBLICO\ANTONIO PCP\imagens\Screenshot_216.bmp</v>
          </cell>
        </row>
        <row r="222">
          <cell r="A222" t="str">
            <v>Z.10209/16</v>
          </cell>
          <cell r="B222" t="str">
            <v>G:\PUBLICO\ANTONIO PCP\imagens\Screenshot_217.bmp</v>
          </cell>
        </row>
        <row r="223">
          <cell r="A223" t="str">
            <v>E.43297</v>
          </cell>
          <cell r="B223" t="str">
            <v>G:\PUBLICO\ANTONIO PCP\imagens\Screenshot_218.bmp</v>
          </cell>
        </row>
        <row r="224">
          <cell r="A224" t="str">
            <v>E.43575</v>
          </cell>
          <cell r="B224" t="str">
            <v>G:\PUBLICO\ANTONIO PCP\imagens\Screenshot_219.bmp</v>
          </cell>
        </row>
        <row r="225">
          <cell r="A225" t="str">
            <v>P.9198</v>
          </cell>
          <cell r="B225" t="str">
            <v>G:\PUBLICO\ANTONIO PCP\imagens\Screenshot_220.bmp</v>
          </cell>
        </row>
        <row r="226">
          <cell r="A226" t="str">
            <v>Z.3988/10</v>
          </cell>
          <cell r="B226" t="str">
            <v>G:\PUBLICO\ANTONIO PCP\imagens\Screenshot_221.bmp</v>
          </cell>
        </row>
        <row r="227">
          <cell r="A227" t="str">
            <v>Z.20619/12</v>
          </cell>
          <cell r="B227" t="str">
            <v>G:\PUBLICO\ANTONIO PCP\imagens\Screenshot_222.bmp</v>
          </cell>
        </row>
        <row r="228">
          <cell r="A228" t="str">
            <v>E.81380</v>
          </cell>
          <cell r="B228" t="str">
            <v>G:\PUBLICO\ANTONIO PCP\imagens\Screenshot_223.bmp</v>
          </cell>
        </row>
        <row r="229">
          <cell r="A229" t="str">
            <v>E.1498</v>
          </cell>
          <cell r="B229" t="str">
            <v>G:\PUBLICO\ANTONIO PCP\imagens\Screenshot_224.bmp</v>
          </cell>
        </row>
        <row r="230">
          <cell r="A230" t="str">
            <v>E.22350</v>
          </cell>
          <cell r="B230" t="str">
            <v>G:\PUBLICO\ANTONIO PCP\imagens\Screenshot_225.bmp</v>
          </cell>
        </row>
        <row r="231">
          <cell r="A231" t="str">
            <v>P.7485</v>
          </cell>
          <cell r="B231" t="str">
            <v>G:\PUBLICO\ANTONIO PCP\imagens\Screenshot_226.bmp</v>
          </cell>
        </row>
        <row r="232">
          <cell r="A232" t="str">
            <v>E.43719</v>
          </cell>
          <cell r="B232" t="str">
            <v>G:\PUBLICO\ANTONIO PCP\imagens\Screenshot_227.bmp</v>
          </cell>
        </row>
        <row r="233">
          <cell r="A233" t="str">
            <v>E.56325</v>
          </cell>
          <cell r="B233" t="str">
            <v>G:\PUBLICO\ANTONIO PCP\imagens\Screenshot_228.bmp</v>
          </cell>
        </row>
        <row r="234">
          <cell r="A234" t="str">
            <v>E.72055P2-BAL</v>
          </cell>
          <cell r="B234" t="str">
            <v>G:\PUBLICO\ANTONIO PCP\imagens\Screenshot_229.bmp</v>
          </cell>
        </row>
        <row r="235">
          <cell r="A235" t="str">
            <v>E.71484P1BAL</v>
          </cell>
          <cell r="B235" t="str">
            <v>G:\PUBLICO\ANTONIO PCP\imagens\Screenshot_230.bmp</v>
          </cell>
        </row>
        <row r="236">
          <cell r="A236" t="str">
            <v>E.1313</v>
          </cell>
          <cell r="B236" t="str">
            <v>G:\PUBLICO\ANTONIO PCP\imagens\Screenshot_231.bmp</v>
          </cell>
        </row>
        <row r="237">
          <cell r="A237" t="str">
            <v>Z.1605/10</v>
          </cell>
          <cell r="B237" t="str">
            <v>G:\PUBLICO\ANTONIO PCP\imagens\Screenshot_232.bmp</v>
          </cell>
        </row>
        <row r="238">
          <cell r="A238" t="str">
            <v>E.81155</v>
          </cell>
          <cell r="B238" t="str">
            <v>G:\PUBLICO\ANTONIO PCP\imagens\Screenshot_233.bmp</v>
          </cell>
        </row>
        <row r="239">
          <cell r="A239" t="str">
            <v>E.22518</v>
          </cell>
          <cell r="B239" t="str">
            <v>G:\PUBLICO\ANTONIO PCP\imagens\Screenshot_234.bmp</v>
          </cell>
        </row>
        <row r="240">
          <cell r="A240" t="str">
            <v>E.81713</v>
          </cell>
          <cell r="B240" t="str">
            <v>G:\PUBLICO\ANTONIO PCP\imagens\Screenshot_235.bmp</v>
          </cell>
        </row>
        <row r="241">
          <cell r="A241" t="str">
            <v>E.56369</v>
          </cell>
          <cell r="B241" t="str">
            <v>G:\PUBLICO\ANTONIO PCP\imagens\Screenshot_236.bmp</v>
          </cell>
        </row>
        <row r="242">
          <cell r="A242" t="str">
            <v>P.90569/07</v>
          </cell>
          <cell r="B242" t="str">
            <v>G:\PUBLICO\ANTONIO PCP\imagens\Screenshot_237.bmp</v>
          </cell>
        </row>
        <row r="243">
          <cell r="A243" t="str">
            <v>Z.60363MA/11</v>
          </cell>
          <cell r="B243" t="str">
            <v>G:\PUBLICO\ANTONIO PCP\imagens\Screenshot_238.bmp</v>
          </cell>
        </row>
        <row r="244">
          <cell r="A244" t="str">
            <v>E.81506</v>
          </cell>
          <cell r="B244" t="str">
            <v>G:\PUBLICO\ANTONIO PCP\imagens\Screenshot_239.bmp</v>
          </cell>
        </row>
        <row r="245">
          <cell r="A245" t="str">
            <v>E.23536</v>
          </cell>
          <cell r="B245" t="str">
            <v>G:\PUBLICO\ANTONIO PCP\imagens\Screenshot_240.bmp</v>
          </cell>
        </row>
        <row r="246">
          <cell r="A246" t="str">
            <v>SALT.33279XX</v>
          </cell>
          <cell r="B246" t="str">
            <v>G:\PUBLICO\ANTONIO PCP\imagens\Screenshot_241.bmp</v>
          </cell>
        </row>
        <row r="247">
          <cell r="A247" t="str">
            <v>SALT.48211XX</v>
          </cell>
          <cell r="B247" t="str">
            <v>G:\PUBLICO\ANTONIO PCP\imagens\Screenshot_242.bmp</v>
          </cell>
        </row>
        <row r="248">
          <cell r="A248" t="str">
            <v>SA.1084</v>
          </cell>
          <cell r="B248" t="str">
            <v>G:\PUBLICO\ANTONIO PCP\imagens\Screenshot_243.bmp</v>
          </cell>
        </row>
        <row r="249">
          <cell r="A249" t="str">
            <v>VT.2000</v>
          </cell>
          <cell r="B249" t="str">
            <v>G:\PUBLICO\ANTONIO PCP\imagens\Screenshot_244.bmp</v>
          </cell>
        </row>
        <row r="250">
          <cell r="A250" t="str">
            <v>SALT.27736XX</v>
          </cell>
          <cell r="B250" t="str">
            <v>G:\PUBLICO\ANTONIO PCP\imagens\Screenshot_245.bmp</v>
          </cell>
        </row>
        <row r="251">
          <cell r="A251" t="str">
            <v>SALT.33513XX</v>
          </cell>
          <cell r="B251" t="str">
            <v>G:\PUBLICO\ANTONIO PCP\imagens\Screenshot_246.bmp</v>
          </cell>
        </row>
        <row r="252">
          <cell r="A252" t="str">
            <v>E.88503</v>
          </cell>
          <cell r="B252" t="str">
            <v>G:\PUBLICO\ANTONIO PCP\imagens\Screenshot_247.bmp</v>
          </cell>
        </row>
        <row r="253">
          <cell r="A253" t="str">
            <v>Z.1591/06</v>
          </cell>
          <cell r="B253" t="str">
            <v>G:\PUBLICO\ANTONIO PCP\imagens\Screenshot_248.bmp</v>
          </cell>
        </row>
        <row r="254">
          <cell r="A254" t="str">
            <v>Z.3543/12</v>
          </cell>
          <cell r="B254" t="str">
            <v>G:\PUBLICO\ANTONIO PCP\imagens\Screenshot_249.bmp</v>
          </cell>
        </row>
        <row r="255">
          <cell r="A255" t="str">
            <v>E.43322</v>
          </cell>
          <cell r="B255" t="str">
            <v>G:\PUBLICO\ANTONIO PCP\imagens\Screenshot_250.bmp</v>
          </cell>
        </row>
        <row r="256">
          <cell r="A256" t="str">
            <v>Z.10428/20</v>
          </cell>
          <cell r="B256" t="str">
            <v>G:\PUBLICO\ANTONIO PCP\imagens\Screenshot_251.bmp</v>
          </cell>
        </row>
        <row r="257">
          <cell r="A257" t="str">
            <v>Z.10496/12</v>
          </cell>
          <cell r="B257" t="str">
            <v>G:\PUBLICO\ANTONIO PCP\imagens\Screenshot_252.bmp</v>
          </cell>
        </row>
        <row r="258">
          <cell r="A258" t="str">
            <v>Z.50176/25</v>
          </cell>
          <cell r="B258" t="str">
            <v>G:\PUBLICO\ANTONIO PCP\imagens\Screenshot_253.bmp</v>
          </cell>
        </row>
        <row r="259">
          <cell r="A259" t="str">
            <v>SALT.4212506</v>
          </cell>
          <cell r="B259" t="str">
            <v>G:\PUBLICO\ANTONIO PCP\imagens\Screenshot_254.bmp</v>
          </cell>
        </row>
        <row r="260">
          <cell r="A260" t="str">
            <v>SALT.8011072</v>
          </cell>
          <cell r="B260" t="str">
            <v>G:\PUBLICO\ANTONIO PCP\imagens\Screenshot_255.bmp</v>
          </cell>
        </row>
        <row r="261">
          <cell r="A261" t="str">
            <v>SALT.40459XX</v>
          </cell>
          <cell r="B261" t="str">
            <v>G:\PUBLICO\ANTONIO PCP\imagens\Screenshot_256.bmp</v>
          </cell>
        </row>
        <row r="262">
          <cell r="A262" t="str">
            <v>SALT.29047XX</v>
          </cell>
          <cell r="B262" t="str">
            <v>G:\PUBLICO\ANTONIO PCP\imagens\Screenshot_257.bmp</v>
          </cell>
        </row>
        <row r="263">
          <cell r="A263" t="str">
            <v>P.90406/03</v>
          </cell>
          <cell r="B263" t="str">
            <v>G:\PUBLICO\ANTONIO PCP\imagens\Screenshot_258.bmp</v>
          </cell>
        </row>
        <row r="264">
          <cell r="A264" t="str">
            <v>Z.50109/16</v>
          </cell>
          <cell r="B264" t="str">
            <v>G:\PUBLICO\ANTONIO PCP\imagens\Screenshot_259.bmp</v>
          </cell>
        </row>
        <row r="265">
          <cell r="A265" t="str">
            <v>P.90376/06</v>
          </cell>
          <cell r="B265" t="str">
            <v>G:\PUBLICO\ANTONIO PCP\imagens\Screenshot_260.bmp</v>
          </cell>
        </row>
        <row r="266">
          <cell r="A266" t="str">
            <v>E.72198P1</v>
          </cell>
          <cell r="B266" t="str">
            <v>G:\PUBLICO\ANTONIO PCP\imagens\Screenshot_261.bmp</v>
          </cell>
        </row>
        <row r="267">
          <cell r="A267" t="str">
            <v>E.72198P2</v>
          </cell>
          <cell r="B267" t="str">
            <v>G:\PUBLICO\ANTONIO PCP\imagens\Screenshot_261.bmp</v>
          </cell>
        </row>
        <row r="268">
          <cell r="A268" t="str">
            <v>E.70315P2</v>
          </cell>
          <cell r="B268" t="str">
            <v>G:\PUBLICO\ANTONIO PCP\imagens\Screenshot_262.bmp</v>
          </cell>
        </row>
        <row r="269">
          <cell r="A269" t="str">
            <v>E.70315P3</v>
          </cell>
          <cell r="B269" t="str">
            <v>G:\PUBLICO\ANTONIO PCP\imagens\Screenshot_262.bmp</v>
          </cell>
        </row>
        <row r="270">
          <cell r="A270" t="str">
            <v>P.4512</v>
          </cell>
          <cell r="B270" t="str">
            <v>G:\PUBLICO\ANTONIO PCP\imagens\Screenshot_263.bmp</v>
          </cell>
        </row>
        <row r="271">
          <cell r="A271" t="str">
            <v>VT.0009</v>
          </cell>
          <cell r="B271" t="str">
            <v>G:\PUBLICO\ANTONIO PCP\imagens\Screenshot_264.bmp</v>
          </cell>
        </row>
        <row r="272">
          <cell r="A272" t="str">
            <v>P.90411/07</v>
          </cell>
          <cell r="B272" t="str">
            <v>G:\PUBLICO\ANTONIO PCP\imagens\Screenshot_265.bmp</v>
          </cell>
        </row>
        <row r="273">
          <cell r="A273" t="str">
            <v>VT.0003</v>
          </cell>
          <cell r="B273" t="str">
            <v>G:\PUBLICO\ANTONIO PCP\imagens\Screenshot_266.bmp</v>
          </cell>
        </row>
        <row r="274">
          <cell r="A274" t="str">
            <v>E.2198</v>
          </cell>
          <cell r="B274" t="str">
            <v>G:\PUBLICO\ANTONIO PCP\imagens\Screenshot_267.bmp</v>
          </cell>
        </row>
        <row r="275">
          <cell r="A275" t="str">
            <v>P.0789</v>
          </cell>
          <cell r="B275" t="str">
            <v>G:\PUBLICO\ANTONIO PCP\imagens\Screenshot_268.bmp</v>
          </cell>
        </row>
        <row r="276">
          <cell r="A276" t="str">
            <v>P.9257</v>
          </cell>
          <cell r="B276" t="str">
            <v>G:\PUBLICO\ANTONIO PCP\imagens\Screenshot_269.bmp</v>
          </cell>
        </row>
        <row r="277">
          <cell r="A277" t="str">
            <v>SAZ.30131RF/18</v>
          </cell>
          <cell r="B277" t="str">
            <v>G:\PUBLICO\ANTONIO PCP\imagens\Screenshot_270.bmp</v>
          </cell>
        </row>
        <row r="278">
          <cell r="A278" t="str">
            <v>E.0046</v>
          </cell>
          <cell r="B278" t="str">
            <v>G:\PUBLICO\ANTONIO PCP\imagens\Screenshot_271.bmp</v>
          </cell>
        </row>
        <row r="279">
          <cell r="A279" t="str">
            <v>Z.3855/15</v>
          </cell>
          <cell r="B279" t="str">
            <v>G:\PUBLICO\ANTONIO PCP\imagens\Screenshot_272.bmp</v>
          </cell>
        </row>
        <row r="280">
          <cell r="A280" t="str">
            <v>Z.20619/20</v>
          </cell>
          <cell r="B280" t="str">
            <v>G:\PUBLICO\ANTONIO PCP\imagens\Screenshot_273.bmp</v>
          </cell>
        </row>
        <row r="281">
          <cell r="A281" t="str">
            <v>E.81381</v>
          </cell>
          <cell r="B281" t="str">
            <v>G:\PUBLICO\ANTONIO PCP\imagens\Screenshot_274.bmp</v>
          </cell>
        </row>
        <row r="282">
          <cell r="A282" t="str">
            <v>E.81525</v>
          </cell>
          <cell r="B282" t="str">
            <v>G:\PUBLICO\ANTONIO PCP\imagens\Screenshot_275.bmp</v>
          </cell>
        </row>
        <row r="283">
          <cell r="A283" t="str">
            <v>SA.1607/64</v>
          </cell>
          <cell r="B283" t="str">
            <v>G:\PUBLICO\ANTONIO PCP\imagens\Screenshot_276.bmp</v>
          </cell>
        </row>
        <row r="284">
          <cell r="A284" t="str">
            <v>SA.0170/288</v>
          </cell>
          <cell r="B284" t="str">
            <v>G:\PUBLICO\ANTONIO PCP\imagens\Screenshot_277.bmp</v>
          </cell>
        </row>
        <row r="285">
          <cell r="A285" t="str">
            <v>SA.2900/128</v>
          </cell>
          <cell r="B285" t="str">
            <v>G:\PUBLICO\ANTONIO PCP\imagens\Screenshot_278.bmp</v>
          </cell>
        </row>
        <row r="286">
          <cell r="A286" t="str">
            <v>SA.3200/128</v>
          </cell>
          <cell r="B286" t="str">
            <v>G:\PUBLICO\ANTONIO PCP\imagens\Screenshot_279.bmp</v>
          </cell>
        </row>
        <row r="287">
          <cell r="A287" t="str">
            <v>SA.3300/160</v>
          </cell>
          <cell r="B287" t="str">
            <v>G:\PUBLICO\ANTONIO PCP\imagens\Screenshot_280.bmp</v>
          </cell>
        </row>
        <row r="288">
          <cell r="A288" t="str">
            <v>E.21687</v>
          </cell>
          <cell r="B288" t="str">
            <v>G:\PUBLICO\ANTONIO PCP\imagens\Screenshot_281.bmp</v>
          </cell>
        </row>
        <row r="289">
          <cell r="A289" t="str">
            <v>E.0699</v>
          </cell>
          <cell r="B289" t="str">
            <v>G:\PUBLICO\ANTONIO PCP\imagens\Screenshot_282.bmp</v>
          </cell>
        </row>
        <row r="290">
          <cell r="A290" t="str">
            <v>E.88521</v>
          </cell>
          <cell r="B290" t="str">
            <v>G:\PUBLICO\ANTONIO PCP\imagens\Screenshot_283.bmp</v>
          </cell>
        </row>
        <row r="291">
          <cell r="A291" t="str">
            <v>E.1237</v>
          </cell>
          <cell r="B291" t="str">
            <v>G:\PUBLICO\ANTONIO PCP\imagens\Screenshot_284.bmp</v>
          </cell>
        </row>
        <row r="292">
          <cell r="A292" t="str">
            <v>E.23357</v>
          </cell>
          <cell r="B292" t="str">
            <v>G:\PUBLICO\ANTONIO PCP\imagens\Screenshot_285.bmp</v>
          </cell>
        </row>
        <row r="293">
          <cell r="A293" t="str">
            <v>Z.4013/08</v>
          </cell>
          <cell r="B293" t="str">
            <v>G:\PUBLICO\ANTONIO PCP\imagens\Screenshot_286.bmp</v>
          </cell>
        </row>
        <row r="294">
          <cell r="A294" t="str">
            <v>P.90259/13</v>
          </cell>
          <cell r="B294" t="str">
            <v>G:\PUBLICO\ANTONIO PCP\imagens\Screenshot_287.bmp</v>
          </cell>
        </row>
        <row r="295">
          <cell r="A295" t="str">
            <v>E.70593P1COBRE</v>
          </cell>
          <cell r="B295" t="str">
            <v>G:\PUBLICO\ANTONIO PCP\imagens\Screenshot_288.bmp</v>
          </cell>
        </row>
        <row r="296">
          <cell r="A296" t="str">
            <v>Z.10708/07</v>
          </cell>
          <cell r="B296" t="str">
            <v>G:\PUBLICO\ANTONIO PCP\imagens\Screenshot_26.bmp</v>
          </cell>
        </row>
        <row r="297">
          <cell r="A297" t="str">
            <v>Z.10708/16</v>
          </cell>
          <cell r="B297" t="str">
            <v>G:\PUBLICO\ANTONIO PCP\imagens\Screenshot_26.bmp</v>
          </cell>
        </row>
        <row r="298">
          <cell r="A298" t="str">
            <v>P.90376/07</v>
          </cell>
          <cell r="B298" t="str">
            <v>G:\PUBLICO\ANTONIO PCP\imagens\Screenshot_260.bmp</v>
          </cell>
        </row>
        <row r="299">
          <cell r="A299" t="str">
            <v>P.90376/16</v>
          </cell>
          <cell r="B299" t="str">
            <v>G:\PUBLICO\ANTONIO PCP\imagens\Screenshot_260.bmp</v>
          </cell>
        </row>
        <row r="300">
          <cell r="A300" t="str">
            <v>P.90645/06</v>
          </cell>
          <cell r="B300" t="str">
            <v>G:\PUBLICO\ANTONIO PCP\imagens\Screenshot_289.bmp</v>
          </cell>
        </row>
        <row r="301">
          <cell r="A301" t="str">
            <v>PSP.90105/M</v>
          </cell>
          <cell r="B301" t="str">
            <v>G:\PUBLICO\ANTONIO PCP\imagens\Screenshot_290.bmp</v>
          </cell>
        </row>
        <row r="302">
          <cell r="A302" t="str">
            <v>E.43729</v>
          </cell>
          <cell r="B302" t="str">
            <v>G:\PUBLICO\ANTONIO PCP\imagens\Screenshot_291.bmp</v>
          </cell>
        </row>
        <row r="303">
          <cell r="A303" t="str">
            <v>SALT.33280XX</v>
          </cell>
          <cell r="B303" t="str">
            <v>G:\PUBLICO\ANTONIO PCP\imagens\Screenshot_292.bmp</v>
          </cell>
        </row>
        <row r="304">
          <cell r="A304" t="str">
            <v>SALT.30935XX</v>
          </cell>
          <cell r="B304" t="str">
            <v>G:\PUBLICO\ANTONIO PCP\imagens\Screenshot_293.bmp</v>
          </cell>
        </row>
        <row r="305">
          <cell r="A305" t="str">
            <v>SA.6581/128</v>
          </cell>
          <cell r="B305" t="str">
            <v>G:\PUBLICO\ANTONIO PCP\imagens\Screenshot_294.bmp</v>
          </cell>
        </row>
        <row r="306">
          <cell r="A306" t="str">
            <v>Z.0250/12</v>
          </cell>
          <cell r="B306" t="str">
            <v>G:\PUBLICO\ANTONIO PCP\imagens\Screenshot_295.bmp</v>
          </cell>
        </row>
        <row r="307">
          <cell r="A307" t="str">
            <v>Z.5339/10</v>
          </cell>
          <cell r="B307" t="str">
            <v>G:\PUBLICO\ANTONIO PCP\imagens\Screenshot_296.bmp</v>
          </cell>
        </row>
        <row r="308">
          <cell r="A308" t="str">
            <v>E.88802</v>
          </cell>
          <cell r="B308" t="str">
            <v>G:\PUBLICO\ANTONIO PCP\imagens\Screenshot_297.bmp</v>
          </cell>
        </row>
        <row r="309">
          <cell r="A309" t="str">
            <v>E.43103</v>
          </cell>
          <cell r="B309" t="str">
            <v>G:\PUBLICO\ANTONIO PCP\imagens\Screenshot_298.bmp</v>
          </cell>
        </row>
        <row r="310">
          <cell r="A310" t="str">
            <v>E.43728</v>
          </cell>
          <cell r="B310" t="str">
            <v>G:\PUBLICO\ANTONIO PCP\imagens\Screenshot_299.bmp</v>
          </cell>
        </row>
        <row r="311">
          <cell r="A311" t="str">
            <v>SALT.8311126</v>
          </cell>
          <cell r="B311" t="str">
            <v>G:\PUBLICO\ANTONIO PCP\imagens\Screenshot_300.bmp</v>
          </cell>
        </row>
        <row r="312">
          <cell r="A312" t="str">
            <v>Z.10419/40</v>
          </cell>
          <cell r="B312" t="str">
            <v>G:\PUBLICO\ANTONIO PCP\imagens\Screenshot_301.bmp</v>
          </cell>
        </row>
        <row r="313">
          <cell r="A313" t="str">
            <v>M.0100CORPO/10</v>
          </cell>
          <cell r="B313" t="str">
            <v>G:\PUBLICO\ANTONIO PCP\imagens\Screenshot_302.bmp</v>
          </cell>
        </row>
        <row r="314">
          <cell r="A314" t="str">
            <v>E.1238</v>
          </cell>
          <cell r="B314" t="str">
            <v>G:\PUBLICO\ANTONIO PCP\imagens\Screenshot_303.bmp</v>
          </cell>
        </row>
        <row r="315">
          <cell r="A315" t="str">
            <v>E.43699</v>
          </cell>
          <cell r="B315" t="str">
            <v>G:\PUBLICO\ANTONIO PCP\imagens\Screenshot_304.bmp</v>
          </cell>
        </row>
        <row r="316">
          <cell r="A316" t="str">
            <v>P.90628/08</v>
          </cell>
          <cell r="B316" t="str">
            <v>G:\PUBLICO\ANTONIO PCP\imagens\Screenshot_305.bmp</v>
          </cell>
        </row>
        <row r="317">
          <cell r="A317" t="str">
            <v>P.7336</v>
          </cell>
          <cell r="B317" t="str">
            <v>G:\PUBLICO\ANTONIO PCP\imagens\Screenshot_306.bmp</v>
          </cell>
        </row>
        <row r="318">
          <cell r="A318" t="str">
            <v>E.88141</v>
          </cell>
          <cell r="B318" t="str">
            <v>G:\PUBLICO\ANTONIO PCP\imagens\Screenshot_307.bmp</v>
          </cell>
        </row>
        <row r="319">
          <cell r="A319" t="str">
            <v>E.81751</v>
          </cell>
          <cell r="B319" t="str">
            <v>G:\PUBLICO\ANTONIO PCP\imagens\Screenshot_308.bmp</v>
          </cell>
        </row>
        <row r="320">
          <cell r="A320" t="str">
            <v>E.81761</v>
          </cell>
          <cell r="B320" t="str">
            <v>G:\PUBLICO\ANTONIO PCP\imagens\Screenshot_309.bmp</v>
          </cell>
        </row>
        <row r="321">
          <cell r="A321" t="str">
            <v>E.81762</v>
          </cell>
          <cell r="B321" t="str">
            <v>G:\PUBLICO\ANTONIO PCP\imagens\Screenshot_310.bmp</v>
          </cell>
        </row>
        <row r="322">
          <cell r="A322" t="str">
            <v>E.21681</v>
          </cell>
          <cell r="B322" t="str">
            <v>G:\PUBLICO\ANTONIO PCP\imagens\Screenshot_311.bmp</v>
          </cell>
        </row>
        <row r="323">
          <cell r="A323" t="str">
            <v>E.43633</v>
          </cell>
          <cell r="B323" t="str">
            <v>G:\PUBLICO\ANTONIO PCP\imagens\Screenshot_312.bmp</v>
          </cell>
        </row>
        <row r="324">
          <cell r="A324" t="str">
            <v>Z.30010/10</v>
          </cell>
          <cell r="B324" t="str">
            <v>G:\PUBLICO\ANTONIO PCP\imagens\Screenshot_313.bmp</v>
          </cell>
        </row>
        <row r="325">
          <cell r="A325" t="str">
            <v>Z.5430/20</v>
          </cell>
          <cell r="B325" t="str">
            <v>G:\PUBLICO\ANTONIO PCP\imagens\Screenshot_314.bmp</v>
          </cell>
        </row>
        <row r="326">
          <cell r="A326" t="str">
            <v>Z.20191/21</v>
          </cell>
          <cell r="B326" t="str">
            <v>G:\PUBLICO\ANTONIO PCP\imagens\Screenshot_315.bmp</v>
          </cell>
        </row>
        <row r="327">
          <cell r="A327" t="str">
            <v>E.72055P1-BAL</v>
          </cell>
          <cell r="B327" t="str">
            <v>G:\PUBLICO\ANTONIO PCP\imagens\Screenshot_316.bmp</v>
          </cell>
        </row>
        <row r="328">
          <cell r="A328" t="str">
            <v>Z.2176/12</v>
          </cell>
          <cell r="B328" t="str">
            <v>G:\PUBLICO\ANTONIO PCP\imagens\Screenshot_317.bmp</v>
          </cell>
        </row>
        <row r="329">
          <cell r="A329" t="str">
            <v>E.81753</v>
          </cell>
          <cell r="B329" t="str">
            <v>G:\PUBLICO\ANTONIO PCP\imagens\Screenshot_318.bmp</v>
          </cell>
        </row>
        <row r="330">
          <cell r="A330" t="str">
            <v>E.23490</v>
          </cell>
          <cell r="B330" t="str">
            <v>G:\PUBLICO\ANTONIO PCP\imagens\Screenshot_319.bmp</v>
          </cell>
        </row>
        <row r="331">
          <cell r="A331" t="str">
            <v>E.22334</v>
          </cell>
          <cell r="B331" t="str">
            <v>G:\PUBLICO\ANTONIO PCP\imagens\Screenshot_320.bmp</v>
          </cell>
        </row>
        <row r="332">
          <cell r="A332" t="str">
            <v>Z.1600/08</v>
          </cell>
          <cell r="B332" t="str">
            <v>G:\PUBLICO\ANTONIO PCP\imagens\Screenshot_321.bmp</v>
          </cell>
        </row>
        <row r="333">
          <cell r="A333" t="str">
            <v>SAVT.3Z0092HA5-1</v>
          </cell>
          <cell r="B333" t="str">
            <v>G:\PUBLICO\ANTONIO PCP\imagens\Screenshot_322.bmp</v>
          </cell>
        </row>
        <row r="334">
          <cell r="A334" t="str">
            <v>E.4631</v>
          </cell>
          <cell r="B334" t="str">
            <v>G:\PUBLICO\ANTONIO PCP\imagens\Screenshot_323.bmp</v>
          </cell>
        </row>
        <row r="335">
          <cell r="A335" t="str">
            <v>PCVT.3Z0052CV1</v>
          </cell>
          <cell r="B335" t="str">
            <v>G:\PUBLICO\ANTONIO PCP\imagens\Screenshot_324.bmp</v>
          </cell>
        </row>
        <row r="336">
          <cell r="A336" t="str">
            <v>SA.PON4021</v>
          </cell>
          <cell r="B336" t="str">
            <v>G:\PUBLICO\ANTONIO PCP\imagens\Screenshot_325.bmp</v>
          </cell>
        </row>
        <row r="337">
          <cell r="A337" t="str">
            <v>E.81034</v>
          </cell>
          <cell r="B337" t="str">
            <v>G:\PUBLICO\ANTONIO PCP\imagens\Screenshot_326.bmp</v>
          </cell>
        </row>
        <row r="338">
          <cell r="A338" t="str">
            <v>P.8780</v>
          </cell>
          <cell r="B338" t="str">
            <v>G:\PUBLICO\ANTONIO PCP\imagens\Screenshot_327.bmp</v>
          </cell>
        </row>
        <row r="339">
          <cell r="A339" t="str">
            <v>SA.3200/192</v>
          </cell>
          <cell r="B339" t="str">
            <v>G:\PUBLICO\ANTONIO PCP\imagens\Screenshot_279.bmp</v>
          </cell>
        </row>
        <row r="340">
          <cell r="A340" t="str">
            <v>SALT.8300173</v>
          </cell>
          <cell r="B340" t="str">
            <v>G:\PUBLICO\ANTONIO PCP\imagens\Screenshot_328.bmp</v>
          </cell>
        </row>
        <row r="341">
          <cell r="A341" t="str">
            <v>E.1889</v>
          </cell>
          <cell r="B341" t="str">
            <v>G:\PUBLICO\ANTONIO PCP\imagens\Screenshot_329.bmp</v>
          </cell>
        </row>
        <row r="342">
          <cell r="A342" t="str">
            <v>Z.60168PC3/35</v>
          </cell>
          <cell r="B342" t="str">
            <v>G:\PUBLICO\ANTONIO PCP\imagens\Screenshot_330.bmp</v>
          </cell>
        </row>
        <row r="343">
          <cell r="A343" t="str">
            <v>Z.0640/08</v>
          </cell>
          <cell r="B343" t="str">
            <v>G:\PUBLICO\ANTONIO PCP\imagens\Screenshot_331.bmp</v>
          </cell>
        </row>
        <row r="344">
          <cell r="A344" t="str">
            <v>Z.60377P2/08</v>
          </cell>
          <cell r="B344" t="str">
            <v>G:\PUBLICO\ANTONIO PCP\imagens\Screenshot_332.bmp</v>
          </cell>
        </row>
        <row r="345">
          <cell r="A345" t="str">
            <v>E.89811</v>
          </cell>
          <cell r="B345" t="str">
            <v>G:\PUBLICO\ANTONIO PCP\imagens\Screenshot_333.bmp</v>
          </cell>
        </row>
        <row r="346">
          <cell r="A346" t="str">
            <v>Z.50204/07</v>
          </cell>
          <cell r="B346" t="str">
            <v>G:\PUBLICO\ANTONIO PCP\imagens\Screenshot_334.bmp</v>
          </cell>
        </row>
        <row r="347">
          <cell r="A347" t="str">
            <v>E.22671</v>
          </cell>
          <cell r="B347" t="str">
            <v>G:\PUBLICO\ANTONIO PCP\imagens\Screenshot_335.bmp</v>
          </cell>
        </row>
        <row r="348">
          <cell r="A348" t="str">
            <v>SA.3300</v>
          </cell>
          <cell r="B348" t="str">
            <v>G:\PUBLICO\ANTONIO PCP\imagens\Screenshot_336.bmp</v>
          </cell>
        </row>
        <row r="349">
          <cell r="A349" t="str">
            <v>E.81742</v>
          </cell>
          <cell r="B349" t="str">
            <v>G:\PUBLICO\ANTONIO PCP\imagens\Screenshot_337.bmp</v>
          </cell>
        </row>
        <row r="350">
          <cell r="A350" t="str">
            <v>E.1188</v>
          </cell>
          <cell r="B350" t="str">
            <v>G:\PUBLICO\ANTONIO PCP\imagens\Screenshot_338.bmp</v>
          </cell>
        </row>
        <row r="351">
          <cell r="A351" t="str">
            <v>E.43004</v>
          </cell>
          <cell r="B351" t="str">
            <v>G:\PUBLICO\ANTONIO PCP\imagens\Screenshot_339.bmp</v>
          </cell>
        </row>
        <row r="352">
          <cell r="A352" t="str">
            <v>E.56308P2</v>
          </cell>
          <cell r="B352" t="str">
            <v>G:\PUBLICO\ANTONIO PCP\imagens\Screenshot_340.bmp</v>
          </cell>
        </row>
        <row r="353">
          <cell r="A353" t="str">
            <v>P.90376/18</v>
          </cell>
          <cell r="B353" t="str">
            <v>G:\PUBLICO\ANTONIO PCP\imagens\Screenshot_260.bmp</v>
          </cell>
        </row>
        <row r="354">
          <cell r="A354" t="str">
            <v>SA.E43227</v>
          </cell>
          <cell r="B354" t="str">
            <v>G:\PUBLICO\ANTONIO PCP\imagens\Screenshot_341.bmp</v>
          </cell>
        </row>
        <row r="355">
          <cell r="A355" t="str">
            <v>E.43721</v>
          </cell>
          <cell r="B355" t="str">
            <v>G:\PUBLICO\ANTONIO PCP\imagens\Screenshot_342.bmp</v>
          </cell>
        </row>
        <row r="356">
          <cell r="A356" t="str">
            <v>M.1811/20</v>
          </cell>
          <cell r="B356" t="str">
            <v>G:\PUBLICO\ANTONIO PCP\imagens\Screenshot_343.bmp</v>
          </cell>
        </row>
        <row r="357">
          <cell r="A357" t="str">
            <v>E.23178</v>
          </cell>
          <cell r="B357" t="str">
            <v>G:\PUBLICO\ANTONIO PCP\imagens\Screenshot_344.bmp</v>
          </cell>
        </row>
        <row r="358">
          <cell r="A358" t="str">
            <v>E.81715</v>
          </cell>
          <cell r="B358" t="str">
            <v>G:\PUBLICO\ANTONIO PCP\imagens\Screenshot_345.bmp</v>
          </cell>
        </row>
        <row r="359">
          <cell r="A359" t="str">
            <v>E.81641</v>
          </cell>
          <cell r="B359" t="str">
            <v>G:\PUBLICO\ANTONIO PCP\imagens\Screenshot_346.bmp</v>
          </cell>
        </row>
        <row r="360">
          <cell r="A360" t="str">
            <v>M.0500PON/15</v>
          </cell>
          <cell r="B360" t="str">
            <v>G:\PUBLICO\ANTONIO PCP\imagens\Screenshot_347.bmp</v>
          </cell>
        </row>
        <row r="361">
          <cell r="A361" t="str">
            <v>E.72322</v>
          </cell>
          <cell r="B361" t="str">
            <v>G:\PUBLICO\ANTONIO PCP\imagens\Screenshot_348.bmp</v>
          </cell>
        </row>
        <row r="362">
          <cell r="A362" t="str">
            <v>Z.10708/14</v>
          </cell>
          <cell r="B362" t="str">
            <v>G:\PUBLICO\ANTONIO PCP\imagens\Screenshot_349.bmp</v>
          </cell>
        </row>
        <row r="363">
          <cell r="A363" t="str">
            <v>E.71484P7AL</v>
          </cell>
          <cell r="B363" t="str">
            <v>G:\PUBLICO\ANTONIO PCP\imagens\Screenshot_350.bmp</v>
          </cell>
        </row>
        <row r="364">
          <cell r="A364" t="str">
            <v>Z.0413/07</v>
          </cell>
          <cell r="B364" t="str">
            <v>G:\PUBLICO\ANTONIO PCP\imagens\Screenshot_351.bmp</v>
          </cell>
        </row>
        <row r="365">
          <cell r="A365" t="str">
            <v>E.22246</v>
          </cell>
          <cell r="B365" t="str">
            <v>G:\PUBLICO\ANTONIO PCP\imagens\Screenshot_352.bmp</v>
          </cell>
        </row>
        <row r="366">
          <cell r="A366" t="str">
            <v>E.81771</v>
          </cell>
          <cell r="B366" t="str">
            <v>G:\PUBLICO\ANTONIO PCP\imagens\Screenshot_353.bmp</v>
          </cell>
        </row>
        <row r="367">
          <cell r="A367" t="str">
            <v>E.72300</v>
          </cell>
          <cell r="B367" t="str">
            <v>G:\PUBLICO\ANTONIO PCP\imagens\Screenshot_354.bmp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26" Type="http://schemas.openxmlformats.org/officeDocument/2006/relationships/image" Target="../media/image11.emf"/><Relationship Id="rId39" Type="http://schemas.openxmlformats.org/officeDocument/2006/relationships/control" Target="../activeX/activeX22.xml"/><Relationship Id="rId3" Type="http://schemas.openxmlformats.org/officeDocument/2006/relationships/control" Target="../activeX/activeX1.xml"/><Relationship Id="rId21" Type="http://schemas.openxmlformats.org/officeDocument/2006/relationships/control" Target="../activeX/activeX10.xml"/><Relationship Id="rId34" Type="http://schemas.openxmlformats.org/officeDocument/2006/relationships/image" Target="../media/image14.emf"/><Relationship Id="rId42" Type="http://schemas.openxmlformats.org/officeDocument/2006/relationships/control" Target="../activeX/activeX25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3.xml"/><Relationship Id="rId33" Type="http://schemas.openxmlformats.org/officeDocument/2006/relationships/control" Target="../activeX/activeX18.xml"/><Relationship Id="rId38" Type="http://schemas.openxmlformats.org/officeDocument/2006/relationships/control" Target="../activeX/activeX21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29" Type="http://schemas.openxmlformats.org/officeDocument/2006/relationships/image" Target="../media/image12.emf"/><Relationship Id="rId41" Type="http://schemas.openxmlformats.org/officeDocument/2006/relationships/control" Target="../activeX/activeX24.x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24" Type="http://schemas.openxmlformats.org/officeDocument/2006/relationships/control" Target="../activeX/activeX12.xml"/><Relationship Id="rId32" Type="http://schemas.openxmlformats.org/officeDocument/2006/relationships/image" Target="../media/image13.emf"/><Relationship Id="rId37" Type="http://schemas.openxmlformats.org/officeDocument/2006/relationships/control" Target="../activeX/activeX20.xml"/><Relationship Id="rId40" Type="http://schemas.openxmlformats.org/officeDocument/2006/relationships/control" Target="../activeX/activeX23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control" Target="../activeX/activeX15.xml"/><Relationship Id="rId36" Type="http://schemas.openxmlformats.org/officeDocument/2006/relationships/image" Target="../media/image15.emf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31" Type="http://schemas.openxmlformats.org/officeDocument/2006/relationships/control" Target="../activeX/activeX17.xml"/><Relationship Id="rId44" Type="http://schemas.openxmlformats.org/officeDocument/2006/relationships/image" Target="../media/image16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Relationship Id="rId27" Type="http://schemas.openxmlformats.org/officeDocument/2006/relationships/control" Target="../activeX/activeX14.xml"/><Relationship Id="rId30" Type="http://schemas.openxmlformats.org/officeDocument/2006/relationships/control" Target="../activeX/activeX16.xml"/><Relationship Id="rId35" Type="http://schemas.openxmlformats.org/officeDocument/2006/relationships/control" Target="../activeX/activeX19.xml"/><Relationship Id="rId43" Type="http://schemas.openxmlformats.org/officeDocument/2006/relationships/control" Target="../activeX/activeX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 filterMode="1"/>
  <dimension ref="A1:F108"/>
  <sheetViews>
    <sheetView topLeftCell="A2" zoomScale="150" zoomScaleNormal="150" workbookViewId="0">
      <selection activeCell="A2" sqref="A2:D77"/>
    </sheetView>
  </sheetViews>
  <sheetFormatPr defaultRowHeight="18.75" x14ac:dyDescent="0.25"/>
  <cols>
    <col min="1" max="1" width="17" style="14" customWidth="1"/>
    <col min="2" max="2" width="16.5703125" style="15" bestFit="1" customWidth="1"/>
    <col min="3" max="3" width="16.42578125" style="14" customWidth="1"/>
    <col min="4" max="4" width="19" style="15" customWidth="1"/>
    <col min="5" max="5" width="19" style="1" hidden="1" customWidth="1"/>
    <col min="6" max="6" width="9.140625" hidden="1" customWidth="1"/>
    <col min="7" max="7" width="0" hidden="1" customWidth="1"/>
  </cols>
  <sheetData>
    <row r="1" spans="1:6" ht="45" hidden="1" customHeight="1" thickBot="1" x14ac:dyDescent="0.3">
      <c r="A1" s="19" t="s">
        <v>0</v>
      </c>
      <c r="B1" s="20"/>
      <c r="C1" s="19"/>
      <c r="D1" s="20"/>
      <c r="E1" s="5"/>
    </row>
    <row r="2" spans="1:6" x14ac:dyDescent="0.25">
      <c r="A2" s="10" t="s">
        <v>1</v>
      </c>
      <c r="B2" s="11" t="s">
        <v>2</v>
      </c>
      <c r="C2" s="10" t="s">
        <v>3</v>
      </c>
      <c r="D2" s="11" t="s">
        <v>4</v>
      </c>
      <c r="E2" s="4" t="str">
        <f>IF([1]Plan1!C4&lt;&gt;"",[1]Plan1!C4,"")</f>
        <v>HORA RETORNO</v>
      </c>
    </row>
    <row r="3" spans="1:6" ht="15" hidden="1" x14ac:dyDescent="0.25">
      <c r="A3" s="2" t="str">
        <f>IF([1]Plan1!A5&lt;&gt;"",[1]Plan1!A5,"")</f>
        <v>E81713</v>
      </c>
      <c r="B3" s="2">
        <f>IF([1]Plan1!B5&lt;&gt;"",[1]Plan1!B5,"")</f>
        <v>44757.45370416667</v>
      </c>
      <c r="C3" s="2">
        <f>IF([1]Plan1!D5&lt;&gt;"",[1]Plan1!D5,"")</f>
        <v>14200</v>
      </c>
      <c r="D3" s="2" t="str">
        <f>IF([1]Plan1!E5&lt;&gt;"",[1]Plan1!E5,"")</f>
        <v>28 e 29/07/2022</v>
      </c>
      <c r="E3" s="3">
        <f>IF([1]Plan1!C5&lt;&gt;"",[1]Plan1!C5,"")</f>
        <v>44776.399334953705</v>
      </c>
      <c r="F3" t="str">
        <f ca="1">IF(D3&lt;TODAY(),"ATRASO","OK")</f>
        <v>OK</v>
      </c>
    </row>
    <row r="4" spans="1:6" ht="15" hidden="1" x14ac:dyDescent="0.25">
      <c r="A4" s="2" t="str">
        <f>IF([1]Plan1!A6&lt;&gt;"",[1]Plan1!A6,"")</f>
        <v>Z50122/08</v>
      </c>
      <c r="B4" s="2">
        <f>IF([1]Plan1!B6&lt;&gt;"",[1]Plan1!B6,"")</f>
        <v>44757.454377662034</v>
      </c>
      <c r="C4" s="2" t="str">
        <f>IF([1]Plan1!D6&lt;&gt;"",[1]Plan1!D6,"")</f>
        <v/>
      </c>
      <c r="D4" s="2">
        <f>IF([1]Plan1!E6&lt;&gt;"",[1]Plan1!E6,"")</f>
        <v>44768</v>
      </c>
      <c r="E4" s="3">
        <f>IF([1]Plan1!C6&lt;&gt;"",[1]Plan1!C6,"")</f>
        <v>44776.405421064817</v>
      </c>
      <c r="F4" t="str">
        <f t="shared" ref="F4:F67" ca="1" si="0">IF(D4&lt;TODAY(),"ATRASO","OK")</f>
        <v>ATRASO</v>
      </c>
    </row>
    <row r="5" spans="1:6" ht="15" hidden="1" x14ac:dyDescent="0.25">
      <c r="A5" s="2" t="str">
        <f>IF([1]Plan1!A7&lt;&gt;"",[1]Plan1!A7,"")</f>
        <v>PSP90105/M</v>
      </c>
      <c r="B5" s="2">
        <f>IF([1]Plan1!B7&lt;&gt;"",[1]Plan1!B7,"")</f>
        <v>44757.454737731481</v>
      </c>
      <c r="C5" s="2">
        <f>IF([1]Plan1!D7&lt;&gt;"",[1]Plan1!D7,"")</f>
        <v>3000</v>
      </c>
      <c r="D5" s="2">
        <f>IF([1]Plan1!E7&lt;&gt;"",[1]Plan1!E7,"")</f>
        <v>44756</v>
      </c>
      <c r="E5" s="3">
        <f>IF([1]Plan1!C7&lt;&gt;"",[1]Plan1!C7,"")</f>
        <v>44757.619746296295</v>
      </c>
      <c r="F5" t="str">
        <f t="shared" ca="1" si="0"/>
        <v>ATRASO</v>
      </c>
    </row>
    <row r="6" spans="1:6" ht="15" hidden="1" x14ac:dyDescent="0.25">
      <c r="A6" s="2" t="str">
        <f>IF([1]Plan1!A8&lt;&gt;"",[1]Plan1!A8,"")</f>
        <v>P4065</v>
      </c>
      <c r="B6" s="2">
        <f>IF([1]Plan1!B8&lt;&gt;"",[1]Plan1!B8,"")</f>
        <v>44757.455109027775</v>
      </c>
      <c r="C6" s="2">
        <f>IF([1]Plan1!D8&lt;&gt;"",[1]Plan1!D8,"")</f>
        <v>20</v>
      </c>
      <c r="D6" s="2">
        <f>IF([1]Plan1!E8&lt;&gt;"",[1]Plan1!E8,"")</f>
        <v>44762</v>
      </c>
      <c r="E6" s="3">
        <f>IF([1]Plan1!C8&lt;&gt;"",[1]Plan1!C8,"")</f>
        <v>44776.399839467595</v>
      </c>
      <c r="F6" t="str">
        <f t="shared" ca="1" si="0"/>
        <v>ATRASO</v>
      </c>
    </row>
    <row r="7" spans="1:6" ht="15" hidden="1" x14ac:dyDescent="0.25">
      <c r="A7" s="2" t="str">
        <f>IF([1]Plan1!A9&lt;&gt;"",[1]Plan1!A9,"")</f>
        <v>E43729</v>
      </c>
      <c r="B7" s="2">
        <f>IF([1]Plan1!B9&lt;&gt;"",[1]Plan1!B9,"")</f>
        <v>44757.492825694448</v>
      </c>
      <c r="C7" s="2">
        <f>IF([1]Plan1!D9&lt;&gt;"",[1]Plan1!D9,"")</f>
        <v>80000</v>
      </c>
      <c r="D7" s="2">
        <f>IF([1]Plan1!E9&lt;&gt;"",[1]Plan1!E9,"")</f>
        <v>44763</v>
      </c>
      <c r="E7" s="3">
        <f>IF([1]Plan1!C9&lt;&gt;"",[1]Plan1!C9,"")</f>
        <v>44776.400034953702</v>
      </c>
      <c r="F7" t="str">
        <f t="shared" ca="1" si="0"/>
        <v>ATRASO</v>
      </c>
    </row>
    <row r="8" spans="1:6" ht="15" hidden="1" x14ac:dyDescent="0.25">
      <c r="A8" s="2" t="str">
        <f>IF([1]Plan1!A10&lt;&gt;"",[1]Plan1!A10,"")</f>
        <v>E.55967</v>
      </c>
      <c r="B8" s="2">
        <f>IF([1]Plan1!B10&lt;&gt;"",[1]Plan1!B10,"")</f>
        <v>44757.710627777778</v>
      </c>
      <c r="C8" s="2" t="str">
        <f>IF([1]Plan1!D10&lt;&gt;"",[1]Plan1!D10,"")</f>
        <v/>
      </c>
      <c r="D8" s="2" t="str">
        <f>IF([1]Plan1!E10&lt;&gt;"",[1]Plan1!E10,"")</f>
        <v>sem pedido</v>
      </c>
      <c r="E8" s="3">
        <f>IF([1]Plan1!C10&lt;&gt;"",[1]Plan1!C10,"")</f>
        <v>44784.707010069447</v>
      </c>
      <c r="F8" t="str">
        <f t="shared" ca="1" si="0"/>
        <v>OK</v>
      </c>
    </row>
    <row r="9" spans="1:6" x14ac:dyDescent="0.25">
      <c r="A9" s="12" t="str">
        <f>IF([1]Plan1!A11&lt;&gt;"",[1]Plan1!A11,"")</f>
        <v>Z.2176/12</v>
      </c>
      <c r="B9" s="13">
        <f>IF([1]Plan1!B11&lt;&gt;"",[1]Plan1!B11,"")</f>
        <v>44757.710403356483</v>
      </c>
      <c r="C9" s="12" t="str">
        <f>IF([1]Plan1!D11&lt;&gt;"",[1]Plan1!D11,"")</f>
        <v/>
      </c>
      <c r="D9" s="13" t="str">
        <f>IF([1]Plan1!E11&lt;&gt;"",[1]Plan1!E11,"")</f>
        <v>sem pedido</v>
      </c>
      <c r="E9" s="3" t="str">
        <f>IF([1]Plan1!C11&lt;&gt;"",[1]Plan1!C11,"")</f>
        <v/>
      </c>
      <c r="F9" t="str">
        <f t="shared" ca="1" si="0"/>
        <v>OK</v>
      </c>
    </row>
    <row r="10" spans="1:6" x14ac:dyDescent="0.25">
      <c r="A10" s="12" t="str">
        <f>IF([1]Plan1!A12&lt;&gt;"",[1]Plan1!A12,"")</f>
        <v>P.90594/03</v>
      </c>
      <c r="B10" s="13">
        <f>IF([1]Plan1!B12&lt;&gt;"",[1]Plan1!B12,"")</f>
        <v>44757.710567013892</v>
      </c>
      <c r="C10" s="12" t="str">
        <f>IF([1]Plan1!D12&lt;&gt;"",[1]Plan1!D12,"")</f>
        <v/>
      </c>
      <c r="D10" s="13" t="str">
        <f>IF([1]Plan1!E12&lt;&gt;"",[1]Plan1!E12,"")</f>
        <v>sem pedido</v>
      </c>
      <c r="E10" s="3" t="str">
        <f>IF([1]Plan1!C12&lt;&gt;"",[1]Plan1!C12,"")</f>
        <v/>
      </c>
      <c r="F10" t="str">
        <f t="shared" ca="1" si="0"/>
        <v>OK</v>
      </c>
    </row>
    <row r="11" spans="1:6" ht="15" hidden="1" x14ac:dyDescent="0.25">
      <c r="A11" s="2" t="str">
        <f>IF([1]Plan1!A13&lt;&gt;"",[1]Plan1!A13,"")</f>
        <v>Z60363/11</v>
      </c>
      <c r="B11" s="2">
        <f>IF([1]Plan1!B13&lt;&gt;"",[1]Plan1!B13,"")</f>
        <v>44757.712093518516</v>
      </c>
      <c r="C11" s="2" t="str">
        <f>IF([1]Plan1!D13&lt;&gt;"",[1]Plan1!D13,"")</f>
        <v/>
      </c>
      <c r="D11" s="2" t="str">
        <f>IF([1]Plan1!E13&lt;&gt;"",[1]Plan1!E13,"")</f>
        <v/>
      </c>
      <c r="E11" s="3">
        <f>IF([1]Plan1!C13&lt;&gt;"",[1]Plan1!C13,"")</f>
        <v>44776.401112268519</v>
      </c>
      <c r="F11" t="str">
        <f t="shared" ca="1" si="0"/>
        <v>OK</v>
      </c>
    </row>
    <row r="12" spans="1:6" x14ac:dyDescent="0.25">
      <c r="A12" s="12" t="str">
        <f>IF([1]Plan1!A14&lt;&gt;"",[1]Plan1!A14,"")</f>
        <v>M.1811/20</v>
      </c>
      <c r="B12" s="13">
        <f>IF([1]Plan1!B14&lt;&gt;"",[1]Plan1!B14,"")</f>
        <v>44757.712480324073</v>
      </c>
      <c r="C12" s="12" t="str">
        <f>IF([1]Plan1!D14&lt;&gt;"",[1]Plan1!D14,"")</f>
        <v/>
      </c>
      <c r="D12" s="13" t="str">
        <f>IF([1]Plan1!E14&lt;&gt;"",[1]Plan1!E14,"")</f>
        <v>sem pedido</v>
      </c>
      <c r="E12" s="3" t="str">
        <f>IF([1]Plan1!C14&lt;&gt;"",[1]Plan1!C14,"")</f>
        <v/>
      </c>
      <c r="F12" t="str">
        <f t="shared" ca="1" si="0"/>
        <v>OK</v>
      </c>
    </row>
    <row r="13" spans="1:6" ht="15" hidden="1" x14ac:dyDescent="0.25">
      <c r="A13" s="2" t="str">
        <f>IF([1]Plan1!A15&lt;&gt;"",[1]Plan1!A15,"")</f>
        <v>E.71484CC+P1</v>
      </c>
      <c r="B13" s="2">
        <f>IF([1]Plan1!B15&lt;&gt;"",[1]Plan1!B15,"")</f>
        <v>44757.712670601853</v>
      </c>
      <c r="C13" s="2">
        <f>IF([1]Plan1!D15&lt;&gt;"",[1]Plan1!D15,"")</f>
        <v>44</v>
      </c>
      <c r="D13" s="2">
        <f>IF([1]Plan1!E15&lt;&gt;"",[1]Plan1!E15,"")</f>
        <v>44767</v>
      </c>
      <c r="E13" s="3">
        <f>IF([1]Plan1!C15&lt;&gt;"",[1]Plan1!C15,"")</f>
        <v>44784.707545138888</v>
      </c>
      <c r="F13" t="str">
        <f t="shared" ca="1" si="0"/>
        <v>ATRASO</v>
      </c>
    </row>
    <row r="14" spans="1:6" ht="15" hidden="1" x14ac:dyDescent="0.25">
      <c r="A14" s="2" t="str">
        <f>IF([1]Plan1!A16&lt;&gt;"",[1]Plan1!A16,"")</f>
        <v>M.0100/10</v>
      </c>
      <c r="B14" s="3">
        <f>IF([1]Plan1!B16&lt;&gt;"",[1]Plan1!B16,"")</f>
        <v>44769.47510891204</v>
      </c>
      <c r="C14" s="2">
        <f>IF([1]Plan1!D16&lt;&gt;"",[1]Plan1!D16,"")</f>
        <v>400</v>
      </c>
      <c r="D14" s="3">
        <f>IF([1]Plan1!E16&lt;&gt;"",[1]Plan1!E16,"")</f>
        <v>44771</v>
      </c>
      <c r="E14" s="3">
        <f>IF([1]Plan1!C16&lt;&gt;"",[1]Plan1!C16,"")</f>
        <v>44841.59816666667</v>
      </c>
      <c r="F14" t="str">
        <f t="shared" ca="1" si="0"/>
        <v>ATRASO</v>
      </c>
    </row>
    <row r="15" spans="1:6" ht="15" hidden="1" x14ac:dyDescent="0.25">
      <c r="A15" s="2" t="str">
        <f>IF([1]Plan1!A17&lt;&gt;"",[1]Plan1!A17,"")</f>
        <v>E43458</v>
      </c>
      <c r="B15" s="2">
        <f>IF([1]Plan1!B17&lt;&gt;"",[1]Plan1!B17,"")</f>
        <v>44769.475303819447</v>
      </c>
      <c r="C15" s="2" t="str">
        <f>IF([1]Plan1!D17&lt;&gt;"",[1]Plan1!D17,"")</f>
        <v/>
      </c>
      <c r="D15" s="2">
        <f>IF([1]Plan1!E17&lt;&gt;"",[1]Plan1!E17,"")</f>
        <v>44756</v>
      </c>
      <c r="E15" s="3">
        <f>IF([1]Plan1!C17&lt;&gt;"",[1]Plan1!C17,"")</f>
        <v>44776.401620949073</v>
      </c>
      <c r="F15" t="str">
        <f t="shared" ca="1" si="0"/>
        <v>ATRASO</v>
      </c>
    </row>
    <row r="16" spans="1:6" ht="15" hidden="1" x14ac:dyDescent="0.25">
      <c r="A16" s="2" t="str">
        <f>IF([1]Plan1!A18&lt;&gt;"",[1]Plan1!A18,"")</f>
        <v>SALT.8519397</v>
      </c>
      <c r="B16" s="2">
        <f>IF([1]Plan1!B18&lt;&gt;"",[1]Plan1!B18,"")</f>
        <v>44770.338012384258</v>
      </c>
      <c r="C16" s="2">
        <f>IF([1]Plan1!D18&lt;&gt;"",[1]Plan1!D18,"")</f>
        <v>2000</v>
      </c>
      <c r="D16" s="2" t="str">
        <f>IF([1]Plan1!E18&lt;&gt;"",[1]Plan1!E18,"")</f>
        <v>A/C João Schmitt</v>
      </c>
      <c r="E16" s="3">
        <f>IF([1]Plan1!C18&lt;&gt;"",[1]Plan1!C18,"")</f>
        <v>44810.404311689817</v>
      </c>
      <c r="F16" t="str">
        <f t="shared" ca="1" si="0"/>
        <v>OK</v>
      </c>
    </row>
    <row r="17" spans="1:6" ht="15" hidden="1" x14ac:dyDescent="0.25">
      <c r="A17" s="2" t="str">
        <f>IF([1]Plan1!A19&lt;&gt;"",[1]Plan1!A19,"")</f>
        <v>SA.1191/96</v>
      </c>
      <c r="B17" s="3">
        <f>IF([1]Plan1!B19&lt;&gt;"",[1]Plan1!B19,"")</f>
        <v>44770.338261111108</v>
      </c>
      <c r="C17" s="2">
        <f>IF([1]Plan1!D19&lt;&gt;"",[1]Plan1!D19,"")</f>
        <v>200</v>
      </c>
      <c r="D17" s="3" t="str">
        <f>IF([1]Plan1!E19&lt;&gt;"",[1]Plan1!E19,"")</f>
        <v>A/C João Schmitt</v>
      </c>
      <c r="E17" s="3">
        <f>IF([1]Plan1!C19&lt;&gt;"",[1]Plan1!C19,"")</f>
        <v>44833.656090509263</v>
      </c>
      <c r="F17" t="str">
        <f t="shared" ca="1" si="0"/>
        <v>OK</v>
      </c>
    </row>
    <row r="18" spans="1:6" ht="15" hidden="1" x14ac:dyDescent="0.25">
      <c r="A18" s="2" t="str">
        <f>IF([1]Plan1!A20&lt;&gt;"",[1]Plan1!A20,"")</f>
        <v>E89867</v>
      </c>
      <c r="B18" s="2">
        <f>IF([1]Plan1!B20&lt;&gt;"",[1]Plan1!B20,"")</f>
        <v>44771.586508449072</v>
      </c>
      <c r="C18" s="2">
        <f>IF([1]Plan1!D20&lt;&gt;"",[1]Plan1!D20,"")</f>
        <v>5710</v>
      </c>
      <c r="D18" s="2">
        <f>IF([1]Plan1!E20&lt;&gt;"",[1]Plan1!E20,"")</f>
        <v>44784</v>
      </c>
      <c r="E18" s="3">
        <f>IF([1]Plan1!C20&lt;&gt;"",[1]Plan1!C20,"")</f>
        <v>44776.401900578705</v>
      </c>
      <c r="F18" t="str">
        <f t="shared" ca="1" si="0"/>
        <v>ATRASO</v>
      </c>
    </row>
    <row r="19" spans="1:6" ht="15" hidden="1" x14ac:dyDescent="0.25">
      <c r="A19" s="2" t="str">
        <f>IF([1]Plan1!A21&lt;&gt;"",[1]Plan1!A21,"")</f>
        <v>P.90315/07</v>
      </c>
      <c r="B19" s="2">
        <f>IF([1]Plan1!B21&lt;&gt;"",[1]Plan1!B21,"")</f>
        <v>44771.601120254629</v>
      </c>
      <c r="C19" s="2">
        <f>IF([1]Plan1!D21&lt;&gt;"",[1]Plan1!D21,"")</f>
        <v>1000</v>
      </c>
      <c r="D19" s="2">
        <f>IF([1]Plan1!E21&lt;&gt;"",[1]Plan1!E21,"")</f>
        <v>44777</v>
      </c>
      <c r="E19" s="3">
        <f>IF([1]Plan1!C21&lt;&gt;"",[1]Plan1!C21,"")</f>
        <v>44782.352545138892</v>
      </c>
      <c r="F19" t="str">
        <f t="shared" ca="1" si="0"/>
        <v>ATRASO</v>
      </c>
    </row>
    <row r="20" spans="1:6" ht="15" hidden="1" x14ac:dyDescent="0.25">
      <c r="A20" s="2" t="str">
        <f>IF([1]Plan1!A22&lt;&gt;"",[1]Plan1!A22,"")</f>
        <v>P90105/M</v>
      </c>
      <c r="B20" s="2">
        <f>IF([1]Plan1!B22&lt;&gt;"",[1]Plan1!B22,"")</f>
        <v>44771.60148784722</v>
      </c>
      <c r="C20" s="2">
        <f>IF([1]Plan1!D22&lt;&gt;"",[1]Plan1!D22,"")</f>
        <v>5000</v>
      </c>
      <c r="D20" s="2">
        <f>IF([1]Plan1!E22&lt;&gt;"",[1]Plan1!E22,"")</f>
        <v>44756</v>
      </c>
      <c r="E20" s="3">
        <f>IF([1]Plan1!C22&lt;&gt;"",[1]Plan1!C22,"")</f>
        <v>44776.404317129629</v>
      </c>
      <c r="F20" t="str">
        <f t="shared" ca="1" si="0"/>
        <v>ATRASO</v>
      </c>
    </row>
    <row r="21" spans="1:6" ht="15" hidden="1" x14ac:dyDescent="0.25">
      <c r="A21" s="2" t="str">
        <f>IF([1]Plan1!A23&lt;&gt;"",[1]Plan1!A23,"")</f>
        <v>E43728</v>
      </c>
      <c r="B21" s="2">
        <f>IF([1]Plan1!B23&lt;&gt;"",[1]Plan1!B23,"")</f>
        <v>44771.601818750001</v>
      </c>
      <c r="C21" s="2" t="str">
        <f>IF([1]Plan1!D23&lt;&gt;"",[1]Plan1!D23,"")</f>
        <v/>
      </c>
      <c r="D21" s="2">
        <f>IF([1]Plan1!E23&lt;&gt;"",[1]Plan1!E23,"")</f>
        <v>44795</v>
      </c>
      <c r="E21" s="3">
        <f>IF([1]Plan1!C23&lt;&gt;"",[1]Plan1!C23,"")</f>
        <v>44776.403584143518</v>
      </c>
      <c r="F21" t="str">
        <f t="shared" ca="1" si="0"/>
        <v>ATRASO</v>
      </c>
    </row>
    <row r="22" spans="1:6" ht="15" hidden="1" x14ac:dyDescent="0.25">
      <c r="A22" s="2" t="str">
        <f>IF([1]Plan1!A24&lt;&gt;"",[1]Plan1!A24,"")</f>
        <v>P.6206</v>
      </c>
      <c r="B22" s="2">
        <f>IF([1]Plan1!B24&lt;&gt;"",[1]Plan1!B24,"")</f>
        <v>44771.604379629629</v>
      </c>
      <c r="C22" s="2">
        <f>IF([1]Plan1!D24&lt;&gt;"",[1]Plan1!D24,"")</f>
        <v>4500</v>
      </c>
      <c r="D22" s="2">
        <f>IF([1]Plan1!E24&lt;&gt;"",[1]Plan1!E24,"")</f>
        <v>44781</v>
      </c>
      <c r="E22" s="3">
        <f>IF([1]Plan1!C24&lt;&gt;"",[1]Plan1!C24,"")</f>
        <v>44784.707978703707</v>
      </c>
      <c r="F22" t="str">
        <f t="shared" ca="1" si="0"/>
        <v>ATRASO</v>
      </c>
    </row>
    <row r="23" spans="1:6" ht="15" hidden="1" x14ac:dyDescent="0.25">
      <c r="A23" s="2" t="str">
        <f>IF([1]Plan1!A25&lt;&gt;"",[1]Plan1!A25,"")</f>
        <v>E81264</v>
      </c>
      <c r="B23" s="2">
        <f>IF([1]Plan1!B25&lt;&gt;"",[1]Plan1!B25,"")</f>
        <v>44774.626230787035</v>
      </c>
      <c r="C23" s="2">
        <f>IF([1]Plan1!D25&lt;&gt;"",[1]Plan1!D25,"")</f>
        <v>6000</v>
      </c>
      <c r="D23" s="2">
        <f>IF([1]Plan1!E25&lt;&gt;"",[1]Plan1!E25,"")</f>
        <v>44778</v>
      </c>
      <c r="E23" s="3">
        <f>IF([1]Plan1!C25&lt;&gt;"",[1]Plan1!C25,"")</f>
        <v>44776.682785300924</v>
      </c>
      <c r="F23" t="str">
        <f t="shared" ca="1" si="0"/>
        <v>ATRASO</v>
      </c>
    </row>
    <row r="24" spans="1:6" ht="15" hidden="1" x14ac:dyDescent="0.25">
      <c r="A24" s="2" t="str">
        <f>IF([1]Plan1!A26&lt;&gt;"",[1]Plan1!A26,"")</f>
        <v>Z.50085/07</v>
      </c>
      <c r="B24" s="2">
        <f>IF([1]Plan1!B26&lt;&gt;"",[1]Plan1!B26,"")</f>
        <v>44774.626649652775</v>
      </c>
      <c r="C24" s="2">
        <f>IF([1]Plan1!D26&lt;&gt;"",[1]Plan1!D26,"")</f>
        <v>201</v>
      </c>
      <c r="D24" s="2">
        <f>IF([1]Plan1!E26&lt;&gt;"",[1]Plan1!E26,"")</f>
        <v>44735</v>
      </c>
      <c r="E24" s="3">
        <f>IF([1]Plan1!C26&lt;&gt;"",[1]Plan1!C26,"")</f>
        <v>44797.342243402774</v>
      </c>
      <c r="F24" t="str">
        <f t="shared" ca="1" si="0"/>
        <v>ATRASO</v>
      </c>
    </row>
    <row r="25" spans="1:6" ht="15" hidden="1" x14ac:dyDescent="0.25">
      <c r="A25" s="2" t="str">
        <f>IF([1]Plan1!A27&lt;&gt;"",[1]Plan1!A27,"")</f>
        <v>E.89867</v>
      </c>
      <c r="B25" s="2">
        <f>IF([1]Plan1!B27&lt;&gt;"",[1]Plan1!B27,"")</f>
        <v>44776.402060995373</v>
      </c>
      <c r="C25" s="2">
        <f>IF([1]Plan1!D27&lt;&gt;"",[1]Plan1!D27,"")</f>
        <v>6000</v>
      </c>
      <c r="D25" s="2">
        <f>IF([1]Plan1!E27&lt;&gt;"",[1]Plan1!E27,"")</f>
        <v>44775</v>
      </c>
      <c r="E25" s="3">
        <f>IF([1]Plan1!C27&lt;&gt;"",[1]Plan1!C27,"")</f>
        <v>44784.708171296297</v>
      </c>
      <c r="F25" t="str">
        <f t="shared" ca="1" si="0"/>
        <v>ATRASO</v>
      </c>
    </row>
    <row r="26" spans="1:6" ht="15" hidden="1" x14ac:dyDescent="0.25">
      <c r="A26" s="2" t="str">
        <f>IF([1]Plan1!A28&lt;&gt;"",[1]Plan1!A28,"")</f>
        <v>E.81753</v>
      </c>
      <c r="B26" s="2">
        <f>IF([1]Plan1!B28&lt;&gt;"",[1]Plan1!B28,"")</f>
        <v>44776.40555729167</v>
      </c>
      <c r="C26" s="2">
        <f>IF([1]Plan1!D28&lt;&gt;"",[1]Plan1!D28,"")</f>
        <v>15000</v>
      </c>
      <c r="D26" s="2">
        <f>IF([1]Plan1!E28&lt;&gt;"",[1]Plan1!E28,"")</f>
        <v>44784</v>
      </c>
      <c r="E26" s="3">
        <f>IF([1]Plan1!C28&lt;&gt;"",[1]Plan1!C28,"")</f>
        <v>44788.495741550927</v>
      </c>
      <c r="F26" t="str">
        <f t="shared" ca="1" si="0"/>
        <v>ATRASO</v>
      </c>
    </row>
    <row r="27" spans="1:6" ht="15" hidden="1" x14ac:dyDescent="0.25">
      <c r="A27" s="2" t="str">
        <f>IF([1]Plan1!A29&lt;&gt;"",[1]Plan1!A29,"")</f>
        <v>Z.10708/08</v>
      </c>
      <c r="B27" s="2">
        <f>IF([1]Plan1!B29&lt;&gt;"",[1]Plan1!B29,"")</f>
        <v>44776.406493518516</v>
      </c>
      <c r="C27" s="2" t="str">
        <f>IF([1]Plan1!D29&lt;&gt;"",[1]Plan1!D29,"")</f>
        <v/>
      </c>
      <c r="D27" s="2" t="str">
        <f>IF([1]Plan1!E29&lt;&gt;"",[1]Plan1!E29,"")</f>
        <v>sem pedido</v>
      </c>
      <c r="E27" s="3">
        <f>IF([1]Plan1!C29&lt;&gt;"",[1]Plan1!C29,"")</f>
        <v>44817.503438310188</v>
      </c>
      <c r="F27" t="str">
        <f t="shared" ca="1" si="0"/>
        <v>OK</v>
      </c>
    </row>
    <row r="28" spans="1:6" x14ac:dyDescent="0.25">
      <c r="A28" s="12" t="str">
        <f>IF([1]Plan1!A30&lt;&gt;"",[1]Plan1!A30,"")</f>
        <v>E.23178</v>
      </c>
      <c r="B28" s="13">
        <f>IF([1]Plan1!B30&lt;&gt;"",[1]Plan1!B30,"")</f>
        <v>44776.407489930556</v>
      </c>
      <c r="C28" s="12" t="str">
        <f>IF([1]Plan1!D30&lt;&gt;"",[1]Plan1!D30,"")</f>
        <v/>
      </c>
      <c r="D28" s="13" t="str">
        <f>IF([1]Plan1!E30&lt;&gt;"",[1]Plan1!E30,"")</f>
        <v>sem pedido</v>
      </c>
      <c r="E28" s="3" t="str">
        <f>IF([1]Plan1!C30&lt;&gt;"",[1]Plan1!C30,"")</f>
        <v/>
      </c>
      <c r="F28" t="str">
        <f t="shared" ca="1" si="0"/>
        <v>OK</v>
      </c>
    </row>
    <row r="29" spans="1:6" hidden="1" x14ac:dyDescent="0.25">
      <c r="A29" s="12" t="str">
        <f>IF([1]Plan1!A31&lt;&gt;"",[1]Plan1!A31,"")</f>
        <v>E.81715</v>
      </c>
      <c r="B29" s="13">
        <f>IF([1]Plan1!B31&lt;&gt;"",[1]Plan1!B31,"")</f>
        <v>44776.407976967595</v>
      </c>
      <c r="C29" s="12" t="str">
        <f>IF([1]Plan1!D31&lt;&gt;"",[1]Plan1!D31,"")</f>
        <v/>
      </c>
      <c r="D29" s="13" t="str">
        <f>IF([1]Plan1!E31&lt;&gt;"",[1]Plan1!E31,"")</f>
        <v>sem pedido</v>
      </c>
      <c r="E29" s="3">
        <f>IF([1]Plan1!C31&lt;&gt;"",[1]Plan1!C31,"")</f>
        <v>44845.658827430554</v>
      </c>
      <c r="F29" t="str">
        <f t="shared" ca="1" si="0"/>
        <v>OK</v>
      </c>
    </row>
    <row r="30" spans="1:6" ht="15" hidden="1" x14ac:dyDescent="0.25">
      <c r="A30" s="2" t="str">
        <f>IF([1]Plan1!A32&lt;&gt;"",[1]Plan1!A32,"")</f>
        <v>E.22416</v>
      </c>
      <c r="B30" s="2">
        <f>IF([1]Plan1!B32&lt;&gt;"",[1]Plan1!B32,"")</f>
        <v>44776.687154976855</v>
      </c>
      <c r="C30" s="2">
        <f>IF([1]Plan1!D32&lt;&gt;"",[1]Plan1!D32,"")</f>
        <v>200</v>
      </c>
      <c r="D30" s="2">
        <f>IF([1]Plan1!E32&lt;&gt;"",[1]Plan1!E32,"")</f>
        <v>44782</v>
      </c>
      <c r="E30" s="3">
        <f>IF([1]Plan1!C32&lt;&gt;"",[1]Plan1!C32,"")</f>
        <v>44784.710104861108</v>
      </c>
      <c r="F30" t="str">
        <f t="shared" ca="1" si="0"/>
        <v>ATRASO</v>
      </c>
    </row>
    <row r="31" spans="1:6" ht="15" hidden="1" x14ac:dyDescent="0.25">
      <c r="A31" s="2" t="str">
        <f>IF([1]Plan1!A33&lt;&gt;"",[1]Plan1!A33,"")</f>
        <v>E.56308P2</v>
      </c>
      <c r="B31" s="2">
        <f>IF([1]Plan1!B33&lt;&gt;"",[1]Plan1!B33,"")</f>
        <v>44776.6875</v>
      </c>
      <c r="C31" s="2">
        <f>IF([1]Plan1!D33&lt;&gt;"",[1]Plan1!D33,"")</f>
        <v>440</v>
      </c>
      <c r="D31" s="2">
        <f>IF([1]Plan1!E33&lt;&gt;"",[1]Plan1!E33,"")</f>
        <v>44782</v>
      </c>
      <c r="E31" s="3">
        <f>IF([1]Plan1!C33&lt;&gt;"",[1]Plan1!C33,"")</f>
        <v>44784.709853703702</v>
      </c>
      <c r="F31" t="str">
        <f t="shared" ca="1" si="0"/>
        <v>ATRASO</v>
      </c>
    </row>
    <row r="32" spans="1:6" ht="15" hidden="1" x14ac:dyDescent="0.25">
      <c r="A32" s="2" t="str">
        <f>IF([1]Plan1!A34&lt;&gt;"",[1]Plan1!A34,"")</f>
        <v>E.56325</v>
      </c>
      <c r="B32" s="2">
        <f>IF([1]Plan1!B34&lt;&gt;"",[1]Plan1!B34,"")</f>
        <v>44776.687813425924</v>
      </c>
      <c r="C32" s="2" t="str">
        <f>IF([1]Plan1!D34&lt;&gt;"",[1]Plan1!D34,"")</f>
        <v/>
      </c>
      <c r="D32" s="2" t="str">
        <f>IF([1]Plan1!E34&lt;&gt;"",[1]Plan1!E34,"")</f>
        <v/>
      </c>
      <c r="E32" s="3">
        <f>IF([1]Plan1!C34&lt;&gt;"",[1]Plan1!C34,"")</f>
        <v>44784.709721412037</v>
      </c>
      <c r="F32" t="str">
        <f t="shared" ca="1" si="0"/>
        <v>OK</v>
      </c>
    </row>
    <row r="33" spans="1:6" ht="15" hidden="1" x14ac:dyDescent="0.25">
      <c r="A33" s="2" t="str">
        <f>IF([1]Plan1!A35&lt;&gt;"",[1]Plan1!A35,"")</f>
        <v>SA1140</v>
      </c>
      <c r="B33" s="2">
        <f>IF([1]Plan1!B35&lt;&gt;"",[1]Plan1!B35,"")</f>
        <v>44781.620307407407</v>
      </c>
      <c r="C33" s="2">
        <f>IF([1]Plan1!D35&lt;&gt;"",[1]Plan1!D35,"")</f>
        <v>2000</v>
      </c>
      <c r="D33" s="2">
        <f>IF([1]Plan1!E35&lt;&gt;"",[1]Plan1!E35,"")</f>
        <v>44784</v>
      </c>
      <c r="E33" s="3">
        <f>IF([1]Plan1!C35&lt;&gt;"",[1]Plan1!C35,"")</f>
        <v>44790.700927430553</v>
      </c>
      <c r="F33" t="str">
        <f t="shared" ca="1" si="0"/>
        <v>ATRASO</v>
      </c>
    </row>
    <row r="34" spans="1:6" ht="15" hidden="1" x14ac:dyDescent="0.25">
      <c r="A34" s="2" t="str">
        <f>IF([1]Plan1!A36&lt;&gt;"",[1]Plan1!A36,"")</f>
        <v>E.22749</v>
      </c>
      <c r="B34" s="2">
        <f>IF([1]Plan1!B36&lt;&gt;"",[1]Plan1!B36,"")</f>
        <v>44790.403100578704</v>
      </c>
      <c r="C34" s="2" t="str">
        <f>IF([1]Plan1!D36&lt;&gt;"",[1]Plan1!D36,"")</f>
        <v/>
      </c>
      <c r="D34" s="2" t="str">
        <f>IF([1]Plan1!E36&lt;&gt;"",[1]Plan1!E36,"")</f>
        <v>sem pedido</v>
      </c>
      <c r="E34" s="3">
        <f>IF([1]Plan1!C36&lt;&gt;"",[1]Plan1!C36,"")</f>
        <v>44845.672788657408</v>
      </c>
      <c r="F34" t="str">
        <f t="shared" ca="1" si="0"/>
        <v>OK</v>
      </c>
    </row>
    <row r="35" spans="1:6" ht="15" hidden="1" x14ac:dyDescent="0.25">
      <c r="A35" s="2" t="str">
        <f>IF([1]Plan1!A37&lt;&gt;"",[1]Plan1!A37,"")</f>
        <v>SAZ.30131RF/18</v>
      </c>
      <c r="B35" s="2">
        <f>IF([1]Plan1!B37&lt;&gt;"",[1]Plan1!B37,"")</f>
        <v>44790.403413773151</v>
      </c>
      <c r="C35" s="2" t="str">
        <f>IF([1]Plan1!D37&lt;&gt;"",[1]Plan1!D37,"")</f>
        <v/>
      </c>
      <c r="D35" s="2" t="str">
        <f>IF([1]Plan1!E37&lt;&gt;"",[1]Plan1!E37,"")</f>
        <v>sem pedido</v>
      </c>
      <c r="E35" s="3">
        <f>IF([1]Plan1!C37&lt;&gt;"",[1]Plan1!C37,"")</f>
        <v>44795.596104166667</v>
      </c>
      <c r="F35" t="str">
        <f t="shared" ca="1" si="0"/>
        <v>OK</v>
      </c>
    </row>
    <row r="36" spans="1:6" ht="15" hidden="1" x14ac:dyDescent="0.25">
      <c r="A36" s="2" t="str">
        <f>IF([1]Plan1!A38&lt;&gt;"",[1]Plan1!A38,"")</f>
        <v>E.81753</v>
      </c>
      <c r="B36" s="3">
        <f>IF([1]Plan1!B38&lt;&gt;"",[1]Plan1!B38,"")</f>
        <v>44790.403645138889</v>
      </c>
      <c r="C36" s="2" t="str">
        <f>IF([1]Plan1!D38&lt;&gt;"",[1]Plan1!D38,"")</f>
        <v/>
      </c>
      <c r="D36" s="3" t="str">
        <f>IF([1]Plan1!E38&lt;&gt;"",[1]Plan1!E38,"")</f>
        <v>sem pedido</v>
      </c>
      <c r="E36" s="3">
        <f>IF([1]Plan1!C38&lt;&gt;"",[1]Plan1!C38,"")</f>
        <v>44831.658109490738</v>
      </c>
      <c r="F36" t="str">
        <f t="shared" ca="1" si="0"/>
        <v>OK</v>
      </c>
    </row>
    <row r="37" spans="1:6" ht="15" hidden="1" x14ac:dyDescent="0.25">
      <c r="A37" s="2" t="str">
        <f>IF([1]Plan1!A39&lt;&gt;"",[1]Plan1!A39,"")</f>
        <v>E.81498</v>
      </c>
      <c r="B37" s="2">
        <f>IF([1]Plan1!B39&lt;&gt;"",[1]Plan1!B39,"")</f>
        <v>44790.403835532408</v>
      </c>
      <c r="C37" s="2" t="str">
        <f>IF([1]Plan1!D39&lt;&gt;"",[1]Plan1!D39,"")</f>
        <v/>
      </c>
      <c r="D37" s="2" t="str">
        <f>IF([1]Plan1!E39&lt;&gt;"",[1]Plan1!E39,"")</f>
        <v>sem pedido</v>
      </c>
      <c r="E37" s="3">
        <f>IF([1]Plan1!C39&lt;&gt;"",[1]Plan1!C39,"")</f>
        <v>44810.399062500001</v>
      </c>
      <c r="F37" t="str">
        <f t="shared" ca="1" si="0"/>
        <v>OK</v>
      </c>
    </row>
    <row r="38" spans="1:6" ht="15" hidden="1" x14ac:dyDescent="0.25">
      <c r="A38" s="2" t="str">
        <f>IF([1]Plan1!A40&lt;&gt;"",[1]Plan1!A40,"")</f>
        <v>E.81450</v>
      </c>
      <c r="B38" s="2">
        <f>IF([1]Plan1!B40&lt;&gt;"",[1]Plan1!B40,"")</f>
        <v>44790.623563541667</v>
      </c>
      <c r="C38" s="2">
        <f>IF([1]Plan1!D40&lt;&gt;"",[1]Plan1!D40,"")</f>
        <v>15000</v>
      </c>
      <c r="D38" s="2">
        <f>IF([1]Plan1!E40&lt;&gt;"",[1]Plan1!E40,"")</f>
        <v>44789</v>
      </c>
      <c r="E38" s="3">
        <f>IF([1]Plan1!C40&lt;&gt;"",[1]Plan1!C40,"")</f>
        <v>44810.403825347224</v>
      </c>
      <c r="F38" t="str">
        <f t="shared" ca="1" si="0"/>
        <v>ATRASO</v>
      </c>
    </row>
    <row r="39" spans="1:6" ht="15" hidden="1" x14ac:dyDescent="0.25">
      <c r="A39" s="2" t="str">
        <f>IF([1]Plan1!A41&lt;&gt;"",[1]Plan1!A41,"")</f>
        <v>P.9004</v>
      </c>
      <c r="B39" s="2">
        <f>IF([1]Plan1!B41&lt;&gt;"",[1]Plan1!B41,"")</f>
        <v>44790.624045370372</v>
      </c>
      <c r="C39" s="2">
        <f>IF([1]Plan1!D41&lt;&gt;"",[1]Plan1!D41,"")</f>
        <v>10000</v>
      </c>
      <c r="D39" s="2">
        <f>IF([1]Plan1!E41&lt;&gt;"",[1]Plan1!E41,"")</f>
        <v>44771</v>
      </c>
      <c r="E39" s="3">
        <f>IF([1]Plan1!C41&lt;&gt;"",[1]Plan1!C41,"")</f>
        <v>44799.717190509262</v>
      </c>
      <c r="F39" t="str">
        <f t="shared" ca="1" si="0"/>
        <v>ATRASO</v>
      </c>
    </row>
    <row r="40" spans="1:6" ht="15" hidden="1" x14ac:dyDescent="0.25">
      <c r="A40" s="2" t="str">
        <f>IF([1]Plan1!A42&lt;&gt;"",[1]Plan1!A42,"")</f>
        <v>Z.30010/08</v>
      </c>
      <c r="B40" s="2">
        <f>IF([1]Plan1!B42&lt;&gt;"",[1]Plan1!B42,"")</f>
        <v>44791.490180092595</v>
      </c>
      <c r="C40" s="2">
        <f>IF([1]Plan1!D42&lt;&gt;"",[1]Plan1!D42,"")</f>
        <v>2500</v>
      </c>
      <c r="D40" s="2">
        <f>IF([1]Plan1!E42&lt;&gt;"",[1]Plan1!E42,"")</f>
        <v>44812</v>
      </c>
      <c r="E40" s="3">
        <f>IF([1]Plan1!C42&lt;&gt;"",[1]Plan1!C42,"")</f>
        <v>44845.672788657408</v>
      </c>
      <c r="F40" t="str">
        <f t="shared" ca="1" si="0"/>
        <v>ATRASO</v>
      </c>
    </row>
    <row r="41" spans="1:6" ht="15" hidden="1" x14ac:dyDescent="0.25">
      <c r="A41" s="2" t="str">
        <f>IF([1]Plan1!A43&lt;&gt;"",[1]Plan1!A43,"")</f>
        <v>Z.50176/25</v>
      </c>
      <c r="B41" s="2">
        <f>IF([1]Plan1!B43&lt;&gt;"",[1]Plan1!B43,"")</f>
        <v>44799.717512962961</v>
      </c>
      <c r="C41" s="2">
        <f>IF([1]Plan1!D43&lt;&gt;"",[1]Plan1!D43,"")</f>
        <v>180</v>
      </c>
      <c r="D41" s="2">
        <f>IF([1]Plan1!E43&lt;&gt;"",[1]Plan1!E43,"")</f>
        <v>44819</v>
      </c>
      <c r="E41" s="3">
        <f>IF([1]Plan1!C43&lt;&gt;"",[1]Plan1!C43,"")</f>
        <v>44810.403114351851</v>
      </c>
      <c r="F41" t="str">
        <f t="shared" ca="1" si="0"/>
        <v>ATRASO</v>
      </c>
    </row>
    <row r="42" spans="1:6" ht="15" hidden="1" x14ac:dyDescent="0.25">
      <c r="A42" s="2" t="str">
        <f>IF([1]Plan1!A44&lt;&gt;"",[1]Plan1!A44,"")</f>
        <v>SA.3000/192</v>
      </c>
      <c r="B42" s="2">
        <f>IF([1]Plan1!B44&lt;&gt;"",[1]Plan1!B44,"")</f>
        <v>44799.717741666667</v>
      </c>
      <c r="C42" s="2" t="str">
        <f>IF([1]Plan1!D44&lt;&gt;"",[1]Plan1!D44,"")</f>
        <v/>
      </c>
      <c r="D42" s="2">
        <f>IF([1]Plan1!E44&lt;&gt;"",[1]Plan1!E44,"")</f>
        <v>44788</v>
      </c>
      <c r="E42" s="3">
        <f>IF([1]Plan1!C44&lt;&gt;"",[1]Plan1!C44,"")</f>
        <v>44810.399320138888</v>
      </c>
      <c r="F42" t="str">
        <f t="shared" ca="1" si="0"/>
        <v>ATRASO</v>
      </c>
    </row>
    <row r="43" spans="1:6" ht="15" hidden="1" x14ac:dyDescent="0.25">
      <c r="A43" s="2" t="str">
        <f>IF([1]Plan1!A45&lt;&gt;"",[1]Plan1!A45,"")</f>
        <v>Z.50085/07</v>
      </c>
      <c r="B43" s="3">
        <f>IF([1]Plan1!B45&lt;&gt;"",[1]Plan1!B45,"")</f>
        <v>44802.397081828705</v>
      </c>
      <c r="C43" s="2">
        <f>IF([1]Plan1!D45&lt;&gt;"",[1]Plan1!D45,"")</f>
        <v>1480</v>
      </c>
      <c r="D43" s="3">
        <f>IF([1]Plan1!E45&lt;&gt;"",[1]Plan1!E45,"")</f>
        <v>44823</v>
      </c>
      <c r="E43" s="3">
        <f>IF([1]Plan1!C45&lt;&gt;"",[1]Plan1!C45,"")</f>
        <v>44831.658397916668</v>
      </c>
      <c r="F43" t="str">
        <f t="shared" ca="1" si="0"/>
        <v>ATRASO</v>
      </c>
    </row>
    <row r="44" spans="1:6" ht="15" hidden="1" x14ac:dyDescent="0.25">
      <c r="A44" s="2" t="str">
        <f>IF([1]Plan1!A46&lt;&gt;"",[1]Plan1!A46,"")</f>
        <v>Z.50084/07</v>
      </c>
      <c r="B44" s="3">
        <f>IF([1]Plan1!B46&lt;&gt;"",[1]Plan1!B46,"")</f>
        <v>44802.397288541666</v>
      </c>
      <c r="C44" s="2" t="str">
        <f>IF([1]Plan1!D46&lt;&gt;"",[1]Plan1!D46,"")</f>
        <v/>
      </c>
      <c r="D44" s="3" t="str">
        <f>IF([1]Plan1!E46&lt;&gt;"",[1]Plan1!E46,"")</f>
        <v>sem pedido</v>
      </c>
      <c r="E44" s="3">
        <f>IF([1]Plan1!C46&lt;&gt;"",[1]Plan1!C46,"")</f>
        <v>44831.658397916668</v>
      </c>
      <c r="F44" t="str">
        <f t="shared" ca="1" si="0"/>
        <v>OK</v>
      </c>
    </row>
    <row r="45" spans="1:6" x14ac:dyDescent="0.25">
      <c r="A45" s="12" t="str">
        <f>IF([1]Plan1!A47&lt;&gt;"",[1]Plan1!A47,"")</f>
        <v>M.0500PON/15</v>
      </c>
      <c r="B45" s="13">
        <f>IF([1]Plan1!B47&lt;&gt;"",[1]Plan1!B47,"")</f>
        <v>44802.3975244213</v>
      </c>
      <c r="C45" s="12" t="str">
        <f>IF([1]Plan1!D47&lt;&gt;"",[1]Plan1!D47,"")</f>
        <v/>
      </c>
      <c r="D45" s="13" t="str">
        <f>IF([1]Plan1!E47&lt;&gt;"",[1]Plan1!E47,"")</f>
        <v>sem pedido</v>
      </c>
      <c r="E45" s="3" t="str">
        <f>IF([1]Plan1!C47&lt;&gt;"",[1]Plan1!C47,"")</f>
        <v/>
      </c>
      <c r="F45" t="str">
        <f t="shared" ca="1" si="0"/>
        <v>OK</v>
      </c>
    </row>
    <row r="46" spans="1:6" ht="15" hidden="1" x14ac:dyDescent="0.25">
      <c r="A46" s="2" t="str">
        <f>IF([1]Plan1!A48&lt;&gt;"",[1]Plan1!A48,"")</f>
        <v>Z.50204/07</v>
      </c>
      <c r="B46" s="3">
        <f>IF([1]Plan1!B48&lt;&gt;"",[1]Plan1!B48,"")</f>
        <v>44810.399780092594</v>
      </c>
      <c r="C46" s="2">
        <f>IF([1]Plan1!D48&lt;&gt;"",[1]Plan1!D48,"")</f>
        <v>150</v>
      </c>
      <c r="D46" s="3">
        <f>IF([1]Plan1!E48&lt;&gt;"",[1]Plan1!E48,"")</f>
        <v>44816</v>
      </c>
      <c r="E46" s="3">
        <f>IF([1]Plan1!C48&lt;&gt;"",[1]Plan1!C48,"")</f>
        <v>44831.658559027775</v>
      </c>
      <c r="F46" t="str">
        <f t="shared" ca="1" si="0"/>
        <v>ATRASO</v>
      </c>
    </row>
    <row r="47" spans="1:6" ht="15" hidden="1" x14ac:dyDescent="0.25">
      <c r="A47" s="2" t="str">
        <f>IF([1]Plan1!A49&lt;&gt;"",[1]Plan1!A49,"")</f>
        <v>P.4065</v>
      </c>
      <c r="B47" s="3">
        <f>IF([1]Plan1!B49&lt;&gt;"",[1]Plan1!B49,"")</f>
        <v>44817.503611111111</v>
      </c>
      <c r="C47" s="2">
        <f>IF([1]Plan1!D49&lt;&gt;"",[1]Plan1!D49,"")</f>
        <v>5000</v>
      </c>
      <c r="D47" s="3">
        <f>IF([1]Plan1!E49&lt;&gt;"",[1]Plan1!E49,"")</f>
        <v>44819</v>
      </c>
      <c r="E47" s="3">
        <f>IF([1]Plan1!C49&lt;&gt;"",[1]Plan1!C49,"")</f>
        <v>44845.672788657408</v>
      </c>
      <c r="F47" t="str">
        <f t="shared" ca="1" si="0"/>
        <v>ATRASO</v>
      </c>
    </row>
    <row r="48" spans="1:6" ht="15" hidden="1" x14ac:dyDescent="0.25">
      <c r="A48" s="2" t="str">
        <f>IF([1]Plan1!A50&lt;&gt;"",[1]Plan1!A50,"")</f>
        <v>P.7485</v>
      </c>
      <c r="B48" s="2">
        <f>IF([1]Plan1!B50&lt;&gt;"",[1]Plan1!B50,"")</f>
        <v>44817.504098379628</v>
      </c>
      <c r="C48" s="2">
        <f>IF([1]Plan1!D50&lt;&gt;"",[1]Plan1!D50,"")</f>
        <v>2500</v>
      </c>
      <c r="D48" s="2" t="str">
        <f>IF([1]Plan1!E50&lt;&gt;"",[1]Plan1!E50,"")</f>
        <v xml:space="preserve">saldo 01/08 e 15/09/2022  </v>
      </c>
      <c r="E48" s="3">
        <f>IF([1]Plan1!C50&lt;&gt;"",[1]Plan1!C50,"")</f>
        <v>44817.722618287036</v>
      </c>
      <c r="F48" t="str">
        <f t="shared" ca="1" si="0"/>
        <v>OK</v>
      </c>
    </row>
    <row r="49" spans="1:6" ht="15" hidden="1" x14ac:dyDescent="0.25">
      <c r="A49" s="2" t="str">
        <f>IF([1]Plan1!A51&lt;&gt;"",[1]Plan1!A51,"")</f>
        <v>E.1405</v>
      </c>
      <c r="B49" s="3">
        <f>IF([1]Plan1!B51&lt;&gt;"",[1]Plan1!B51,"")</f>
        <v>44824.639866087964</v>
      </c>
      <c r="C49" s="2">
        <f>IF([1]Plan1!D51&lt;&gt;"",[1]Plan1!D51,"")</f>
        <v>5520</v>
      </c>
      <c r="D49" s="3">
        <f>IF([1]Plan1!E51&lt;&gt;"",[1]Plan1!E51,"")</f>
        <v>44817</v>
      </c>
      <c r="E49" s="3">
        <f>IF([1]Plan1!C51&lt;&gt;"",[1]Plan1!C51,"")</f>
        <v>44832.692167245368</v>
      </c>
      <c r="F49" t="str">
        <f t="shared" ca="1" si="0"/>
        <v>ATRASO</v>
      </c>
    </row>
    <row r="50" spans="1:6" ht="15" hidden="1" x14ac:dyDescent="0.25">
      <c r="A50" s="2" t="str">
        <f>IF([1]Plan1!A52&lt;&gt;"",[1]Plan1!A52,"")</f>
        <v>E.88851</v>
      </c>
      <c r="B50" s="3">
        <f>IF([1]Plan1!B52&lt;&gt;"",[1]Plan1!B52,"")</f>
        <v>44824.640522569447</v>
      </c>
      <c r="C50" s="2">
        <f>IF([1]Plan1!D52&lt;&gt;"",[1]Plan1!D52,"")</f>
        <v>45000</v>
      </c>
      <c r="D50" s="3" t="str">
        <f>IF([1]Plan1!E52&lt;&gt;"",[1]Plan1!E52,"")</f>
        <v/>
      </c>
      <c r="E50" s="3">
        <f>IF([1]Plan1!C52&lt;&gt;"",[1]Plan1!C52,"")</f>
        <v>44833.563873032406</v>
      </c>
      <c r="F50" t="str">
        <f t="shared" ca="1" si="0"/>
        <v>OK</v>
      </c>
    </row>
    <row r="51" spans="1:6" ht="15" hidden="1" x14ac:dyDescent="0.25">
      <c r="A51" s="2" t="str">
        <f>IF([1]Plan1!A53&lt;&gt;"",[1]Plan1!A53,"")</f>
        <v>E.5294</v>
      </c>
      <c r="B51" s="3">
        <f>IF([1]Plan1!B53&lt;&gt;"",[1]Plan1!B53,"")</f>
        <v>44826.395920370371</v>
      </c>
      <c r="C51" s="2">
        <f>IF([1]Plan1!D53&lt;&gt;"",[1]Plan1!D53,"")</f>
        <v>1030</v>
      </c>
      <c r="D51" s="3">
        <f>IF([1]Plan1!E53&lt;&gt;"",[1]Plan1!E53,"")</f>
        <v>44830</v>
      </c>
      <c r="E51" s="3">
        <f>IF([1]Plan1!C53&lt;&gt;"",[1]Plan1!C53,"")</f>
        <v>44833.624048495367</v>
      </c>
      <c r="F51" t="str">
        <f t="shared" ca="1" si="0"/>
        <v>ATRASO</v>
      </c>
    </row>
    <row r="52" spans="1:6" ht="15" hidden="1" x14ac:dyDescent="0.25">
      <c r="A52" s="2" t="str">
        <f>IF([1]Plan1!A54&lt;&gt;"",[1]Plan1!A54,"")</f>
        <v>E.81267</v>
      </c>
      <c r="B52" s="3">
        <f>IF([1]Plan1!B54&lt;&gt;"",[1]Plan1!B54,"")</f>
        <v>44826.597558912035</v>
      </c>
      <c r="C52" s="2">
        <f>IF([1]Plan1!D54&lt;&gt;"",[1]Plan1!D54,"")</f>
        <v>370000</v>
      </c>
      <c r="D52" s="3">
        <f>IF([1]Plan1!E54&lt;&gt;"",[1]Plan1!E54,"")</f>
        <v>44851</v>
      </c>
      <c r="E52" s="3">
        <f>IF([1]Plan1!C54&lt;&gt;"",[1]Plan1!C54,"")</f>
        <v>44845.672788657408</v>
      </c>
      <c r="F52" t="str">
        <f t="shared" ca="1" si="0"/>
        <v>OK</v>
      </c>
    </row>
    <row r="53" spans="1:6" ht="15" hidden="1" x14ac:dyDescent="0.25">
      <c r="A53" s="2" t="str">
        <f>IF([1]Plan1!A55&lt;&gt;"",[1]Plan1!A55,"")</f>
        <v>SA1180/160</v>
      </c>
      <c r="B53" s="3">
        <f>IF([1]Plan1!B55&lt;&gt;"",[1]Plan1!B55,"")</f>
        <v>44831.659041666666</v>
      </c>
      <c r="C53" s="2">
        <f>IF([1]Plan1!D55&lt;&gt;"",[1]Plan1!D55,"")</f>
        <v>1000</v>
      </c>
      <c r="D53" s="3" t="str">
        <f>IF([1]Plan1!E55&lt;&gt;"",[1]Plan1!E55,"")</f>
        <v>A/C João Schmitt</v>
      </c>
      <c r="E53" s="3">
        <f>IF([1]Plan1!C55&lt;&gt;"",[1]Plan1!C55,"")</f>
        <v>44833.332429513888</v>
      </c>
      <c r="F53" t="str">
        <f t="shared" ca="1" si="0"/>
        <v>OK</v>
      </c>
    </row>
    <row r="54" spans="1:6" hidden="1" x14ac:dyDescent="0.25">
      <c r="A54" s="12" t="str">
        <f>IF([1]Plan1!A56&lt;&gt;"",[1]Plan1!A56,"")</f>
        <v>E.72322</v>
      </c>
      <c r="B54" s="13">
        <f>IF([1]Plan1!B56&lt;&gt;"",[1]Plan1!B56,"")</f>
        <v>44831.659344675929</v>
      </c>
      <c r="C54" s="12">
        <f>IF([1]Plan1!D56&lt;&gt;"",[1]Plan1!D56,"")</f>
        <v>20</v>
      </c>
      <c r="D54" s="13">
        <f>IF([1]Plan1!E56&lt;&gt;"",[1]Plan1!E56,"")</f>
        <v>44813</v>
      </c>
      <c r="E54" s="3">
        <f>IF([1]Plan1!C56&lt;&gt;"",[1]Plan1!C56,"")</f>
        <v>44845.657966203704</v>
      </c>
      <c r="F54" t="str">
        <f t="shared" ca="1" si="0"/>
        <v>ATRASO</v>
      </c>
    </row>
    <row r="55" spans="1:6" ht="15" hidden="1" x14ac:dyDescent="0.25">
      <c r="A55" s="2" t="str">
        <f>IF([1]Plan1!A57&lt;&gt;"",[1]Plan1!A57,"")</f>
        <v>P.90650/03</v>
      </c>
      <c r="B55" s="3">
        <f>IF([1]Plan1!B57&lt;&gt;"",[1]Plan1!B57,"")</f>
        <v>44832.446015046298</v>
      </c>
      <c r="C55" s="2">
        <f>IF([1]Plan1!D57&lt;&gt;"",[1]Plan1!D57,"")</f>
        <v>22000</v>
      </c>
      <c r="D55" s="3">
        <f>IF([1]Plan1!E57&lt;&gt;"",[1]Plan1!E57,"")</f>
        <v>44831</v>
      </c>
      <c r="E55" s="3">
        <f>IF([1]Plan1!C57&lt;&gt;"",[1]Plan1!C57,"")</f>
        <v>44837.510438310186</v>
      </c>
      <c r="F55" t="str">
        <f t="shared" ca="1" si="0"/>
        <v>ATRASO</v>
      </c>
    </row>
    <row r="56" spans="1:6" hidden="1" x14ac:dyDescent="0.25">
      <c r="A56" s="12" t="str">
        <f>IF([1]Plan1!A58&lt;&gt;"",[1]Plan1!A58,"")</f>
        <v>Z.10708/14</v>
      </c>
      <c r="B56" s="13">
        <f>IF([1]Plan1!B58&lt;&gt;"",[1]Plan1!B58,"")</f>
        <v>44832.692451157411</v>
      </c>
      <c r="C56" s="12">
        <f>IF([1]Plan1!D58&lt;&gt;"",[1]Plan1!D58,"")</f>
        <v>5000</v>
      </c>
      <c r="D56" s="13">
        <f>IF([1]Plan1!E58&lt;&gt;"",[1]Plan1!E58,"")</f>
        <v>44839</v>
      </c>
      <c r="E56" s="3">
        <f>IF([1]Plan1!C58&lt;&gt;"",[1]Plan1!C58,"")</f>
        <v>44845.672788657408</v>
      </c>
      <c r="F56" t="str">
        <f t="shared" ca="1" si="0"/>
        <v>ATRASO</v>
      </c>
    </row>
    <row r="57" spans="1:6" ht="15" hidden="1" x14ac:dyDescent="0.25">
      <c r="A57" s="2" t="str">
        <f>IF([1]Plan1!A59&lt;&gt;"",[1]Plan1!A59,"")</f>
        <v>E.23588</v>
      </c>
      <c r="B57" s="3">
        <f>IF([1]Plan1!B59&lt;&gt;"",[1]Plan1!B59,"")</f>
        <v>44832.692756481483</v>
      </c>
      <c r="C57" s="2">
        <f>IF([1]Plan1!D59&lt;&gt;"",[1]Plan1!D59,"")</f>
        <v>10000</v>
      </c>
      <c r="D57" s="3">
        <f>IF([1]Plan1!E59&lt;&gt;"",[1]Plan1!E59,"")</f>
        <v>44837</v>
      </c>
      <c r="E57" s="3">
        <f>IF([1]Plan1!C59&lt;&gt;"",[1]Plan1!C59,"")</f>
        <v>44845.672788657408</v>
      </c>
      <c r="F57" t="str">
        <f t="shared" ca="1" si="0"/>
        <v>ATRASO</v>
      </c>
    </row>
    <row r="58" spans="1:6" ht="15" hidden="1" x14ac:dyDescent="0.25">
      <c r="A58" s="2" t="str">
        <f>IF([1]Plan1!A60&lt;&gt;"",[1]Plan1!A60,"")</f>
        <v>E.81498</v>
      </c>
      <c r="B58" s="3">
        <f>IF([1]Plan1!B60&lt;&gt;"",[1]Plan1!B60,"")</f>
        <v>44833.334815624999</v>
      </c>
      <c r="C58" s="2">
        <f>IF([1]Plan1!D60&lt;&gt;"",[1]Plan1!D60,"")</f>
        <v>28000</v>
      </c>
      <c r="D58" s="3">
        <f>IF([1]Plan1!E60&lt;&gt;"",[1]Plan1!E60,"")</f>
        <v>44838</v>
      </c>
      <c r="E58" s="3">
        <f>IF([1]Plan1!C60&lt;&gt;"",[1]Plan1!C60,"")</f>
        <v>44845.672788657408</v>
      </c>
      <c r="F58" t="str">
        <f t="shared" ca="1" si="0"/>
        <v>ATRASO</v>
      </c>
    </row>
    <row r="59" spans="1:6" ht="15" hidden="1" x14ac:dyDescent="0.25">
      <c r="A59" s="2" t="str">
        <f>IF([1]Plan1!A61&lt;&gt;"",[1]Plan1!A61,"")</f>
        <v>E.81267</v>
      </c>
      <c r="B59" s="3">
        <f>IF([1]Plan1!B61&lt;&gt;"",[1]Plan1!B61,"")</f>
        <v>44834.338098495369</v>
      </c>
      <c r="C59" s="2">
        <f>IF([1]Plan1!D61&lt;&gt;"",[1]Plan1!D61,"")</f>
        <v>340000</v>
      </c>
      <c r="D59" s="3">
        <f>IF([1]Plan1!E61&lt;&gt;"",[1]Plan1!E61,"")</f>
        <v>44858</v>
      </c>
      <c r="E59" s="3">
        <f>IF([1]Plan1!C61&lt;&gt;"",[1]Plan1!C61,"")</f>
        <v>44835.437054861111</v>
      </c>
      <c r="F59" t="str">
        <f t="shared" ca="1" si="0"/>
        <v>OK</v>
      </c>
    </row>
    <row r="60" spans="1:6" hidden="1" x14ac:dyDescent="0.25">
      <c r="A60" s="12" t="str">
        <f>IF([1]Plan1!A62&lt;&gt;"",[1]Plan1!A62,"")</f>
        <v>E.71484P7AL</v>
      </c>
      <c r="B60" s="13">
        <f>IF([1]Plan1!B62&lt;&gt;"",[1]Plan1!B62,"")</f>
        <v>44835.437239236111</v>
      </c>
      <c r="C60" s="12">
        <f>IF([1]Plan1!D62&lt;&gt;"",[1]Plan1!D62,"")</f>
        <v>100</v>
      </c>
      <c r="D60" s="13">
        <f>IF([1]Plan1!E62&lt;&gt;"",[1]Plan1!E62,"")</f>
        <v>44834</v>
      </c>
      <c r="E60" s="3">
        <f>IF([1]Plan1!C62&lt;&gt;"",[1]Plan1!C62,"")</f>
        <v>44845.672788657408</v>
      </c>
      <c r="F60" t="str">
        <f t="shared" ca="1" si="0"/>
        <v>ATRASO</v>
      </c>
    </row>
    <row r="61" spans="1:6" ht="15" hidden="1" x14ac:dyDescent="0.25">
      <c r="A61" s="2" t="str">
        <f>IF([1]Plan1!A63&lt;&gt;"",[1]Plan1!A63,"")</f>
        <v>E.81498</v>
      </c>
      <c r="B61" s="3">
        <f>IF([1]Plan1!B63&lt;&gt;"",[1]Plan1!B63,"")</f>
        <v>44835.437906944448</v>
      </c>
      <c r="C61" s="2" t="str">
        <f>IF([1]Plan1!D63&lt;&gt;"",[1]Plan1!D63,"")</f>
        <v/>
      </c>
      <c r="D61" s="3" t="str">
        <f>IF([1]Plan1!E63&lt;&gt;"",[1]Plan1!E63,"")</f>
        <v/>
      </c>
      <c r="E61" s="3">
        <f>IF([1]Plan1!C63&lt;&gt;"",[1]Plan1!C63,"")</f>
        <v>44845.672788657408</v>
      </c>
      <c r="F61" t="str">
        <f t="shared" ca="1" si="0"/>
        <v>OK</v>
      </c>
    </row>
    <row r="62" spans="1:6" hidden="1" x14ac:dyDescent="0.25">
      <c r="A62" s="12" t="str">
        <f>IF([1]Plan1!A64&lt;&gt;"",[1]Plan1!A64,"")</f>
        <v>Z.0413/07</v>
      </c>
      <c r="B62" s="13">
        <f>IF([1]Plan1!B64&lt;&gt;"",[1]Plan1!B64,"")</f>
        <v>44837.512801851852</v>
      </c>
      <c r="C62" s="12">
        <f>IF([1]Plan1!D64&lt;&gt;"",[1]Plan1!D64,"")</f>
        <v>2000</v>
      </c>
      <c r="D62" s="13">
        <f>IF([1]Plan1!E64&lt;&gt;"",[1]Plan1!E64,"")</f>
        <v>44839</v>
      </c>
      <c r="E62" s="3">
        <f>IF([1]Plan1!C64&lt;&gt;"",[1]Plan1!C64,"")</f>
        <v>44845.672788657408</v>
      </c>
      <c r="F62" t="str">
        <f t="shared" ca="1" si="0"/>
        <v>ATRASO</v>
      </c>
    </row>
    <row r="63" spans="1:6" ht="15" hidden="1" x14ac:dyDescent="0.25">
      <c r="A63" s="2" t="str">
        <f>IF([1]Plan1!A65&lt;&gt;"",[1]Plan1!A65,"")</f>
        <v>E.81498</v>
      </c>
      <c r="B63" s="3">
        <f>IF([1]Plan1!B65&lt;&gt;"",[1]Plan1!B65,"")</f>
        <v>44839.362604861111</v>
      </c>
      <c r="C63" s="2" t="str">
        <f>IF([1]Plan1!D65&lt;&gt;"",[1]Plan1!D65,"")</f>
        <v/>
      </c>
      <c r="D63" s="3">
        <f>IF([1]Plan1!E65&lt;&gt;"",[1]Plan1!E65,"")</f>
        <v>44846</v>
      </c>
      <c r="E63" s="3">
        <f>IF([1]Plan1!C65&lt;&gt;"",[1]Plan1!C65,"")</f>
        <v>44845.672788657408</v>
      </c>
      <c r="F63" t="str">
        <f t="shared" ca="1" si="0"/>
        <v>OK</v>
      </c>
    </row>
    <row r="64" spans="1:6" hidden="1" x14ac:dyDescent="0.25">
      <c r="A64" s="12" t="str">
        <f>IF([1]Plan1!A66&lt;&gt;"",[1]Plan1!A66,"")</f>
        <v>E.22246</v>
      </c>
      <c r="B64" s="13">
        <f>IF([1]Plan1!B66&lt;&gt;"",[1]Plan1!B66,"")</f>
        <v>44839.435153356484</v>
      </c>
      <c r="C64" s="12">
        <f>IF([1]Plan1!D66&lt;&gt;"",[1]Plan1!D66,"")</f>
        <v>10000</v>
      </c>
      <c r="D64" s="13">
        <f>IF([1]Plan1!E66&lt;&gt;"",[1]Plan1!E66,"")</f>
        <v>44847</v>
      </c>
      <c r="E64" s="3">
        <f>IF([1]Plan1!C66&lt;&gt;"",[1]Plan1!C66,"")</f>
        <v>44845.672788657408</v>
      </c>
      <c r="F64" t="str">
        <f t="shared" ca="1" si="0"/>
        <v>OK</v>
      </c>
    </row>
    <row r="65" spans="1:6" x14ac:dyDescent="0.25">
      <c r="A65" s="12" t="str">
        <f>IF([1]Plan1!A67&lt;&gt;"",[1]Plan1!A67,"")</f>
        <v>E.81771</v>
      </c>
      <c r="B65" s="13">
        <f>IF([1]Plan1!B67&lt;&gt;"",[1]Plan1!B67,"")</f>
        <v>44840.712055902775</v>
      </c>
      <c r="C65" s="12">
        <f>IF([1]Plan1!D67&lt;&gt;"",[1]Plan1!D67,"")</f>
        <v>515</v>
      </c>
      <c r="D65" s="13">
        <f>IF([1]Plan1!E67&lt;&gt;"",[1]Plan1!E67,"")</f>
        <v>44834</v>
      </c>
      <c r="E65" s="3" t="str">
        <f>IF([1]Plan1!C67&lt;&gt;"",[1]Plan1!C67,"")</f>
        <v/>
      </c>
      <c r="F65" t="str">
        <f t="shared" ca="1" si="0"/>
        <v>ATRASO</v>
      </c>
    </row>
    <row r="66" spans="1:6" hidden="1" x14ac:dyDescent="0.25">
      <c r="A66" s="12" t="str">
        <f>IF([1]Plan1!A68&lt;&gt;"",[1]Plan1!A68,"")</f>
        <v>E.88813</v>
      </c>
      <c r="B66" s="13">
        <f>IF([1]Plan1!B68&lt;&gt;"",[1]Plan1!B68,"")</f>
        <v>44840.712865393521</v>
      </c>
      <c r="C66" s="12">
        <f>IF([1]Plan1!D68&lt;&gt;"",[1]Plan1!D68,"")</f>
        <v>24200</v>
      </c>
      <c r="D66" s="13">
        <f>IF([1]Plan1!E68&lt;&gt;"",[1]Plan1!E68,"")</f>
        <v>44852</v>
      </c>
      <c r="E66" s="3">
        <f>IF([1]Plan1!C68&lt;&gt;"",[1]Plan1!C68,"")</f>
        <v>44845.672788657408</v>
      </c>
      <c r="F66" t="str">
        <f t="shared" ca="1" si="0"/>
        <v>OK</v>
      </c>
    </row>
    <row r="67" spans="1:6" x14ac:dyDescent="0.25">
      <c r="A67" s="12" t="str">
        <f>IF([1]Plan1!A69&lt;&gt;"",[1]Plan1!A69,"")</f>
        <v>P.4065</v>
      </c>
      <c r="B67" s="13">
        <f>IF([1]Plan1!B69&lt;&gt;"",[1]Plan1!B69,"")</f>
        <v>44840.713646990742</v>
      </c>
      <c r="C67" s="12">
        <f>IF([1]Plan1!D69&lt;&gt;"",[1]Plan1!D69,"")</f>
        <v>30000</v>
      </c>
      <c r="D67" s="13" t="str">
        <f>IF([1]Plan1!E69&lt;&gt;"",[1]Plan1!E69,"")</f>
        <v>29/09 e 19/10/2022</v>
      </c>
      <c r="E67" s="3" t="str">
        <f>IF([1]Plan1!C69&lt;&gt;"",[1]Plan1!C69,"")</f>
        <v/>
      </c>
      <c r="F67" t="str">
        <f t="shared" ca="1" si="0"/>
        <v>OK</v>
      </c>
    </row>
    <row r="68" spans="1:6" hidden="1" x14ac:dyDescent="0.25">
      <c r="A68" s="12" t="str">
        <f>IF([1]Plan1!A70&lt;&gt;"",[1]Plan1!A70,"")</f>
        <v>P.9004</v>
      </c>
      <c r="B68" s="13">
        <f>IF([1]Plan1!B70&lt;&gt;"",[1]Plan1!B70,"")</f>
        <v>44844.342510648145</v>
      </c>
      <c r="C68" s="12">
        <f>IF([1]Plan1!D70&lt;&gt;"",[1]Plan1!D70,"")</f>
        <v>5000</v>
      </c>
      <c r="D68" s="13">
        <f>IF([1]Plan1!E70&lt;&gt;"",[1]Plan1!E70,"")</f>
        <v>44845</v>
      </c>
      <c r="E68" s="3">
        <f>IF([1]Plan1!C70&lt;&gt;"",[1]Plan1!C70,"")</f>
        <v>44845.672788657408</v>
      </c>
      <c r="F68" t="str">
        <f t="shared" ref="F68:F107" ca="1" si="1">IF(D68&lt;TODAY(),"ATRASO","OK")</f>
        <v>OK</v>
      </c>
    </row>
    <row r="69" spans="1:6" x14ac:dyDescent="0.25">
      <c r="A69" s="12" t="str">
        <f>IF([1]Plan1!A71&lt;&gt;"",[1]Plan1!A71,"")</f>
        <v>E.22749</v>
      </c>
      <c r="B69" s="13">
        <f>IF([1]Plan1!B71&lt;&gt;"",[1]Plan1!B71,"")</f>
        <v>44844.34290462963</v>
      </c>
      <c r="C69" s="12">
        <f>IF([1]Plan1!D71&lt;&gt;"",[1]Plan1!D71,"")</f>
        <v>20000</v>
      </c>
      <c r="D69" s="13">
        <f>IF([1]Plan1!E71&lt;&gt;"",[1]Plan1!E71,"")</f>
        <v>44854</v>
      </c>
      <c r="E69" s="3" t="str">
        <f>IF([1]Plan1!C71&lt;&gt;"",[1]Plan1!C71,"")</f>
        <v/>
      </c>
      <c r="F69" t="str">
        <f t="shared" ca="1" si="1"/>
        <v>OK</v>
      </c>
    </row>
    <row r="70" spans="1:6" hidden="1" x14ac:dyDescent="0.25">
      <c r="A70" s="12" t="str">
        <f>IF([1]Plan1!A72&lt;&gt;"",[1]Plan1!A72,"")</f>
        <v>E.72300</v>
      </c>
      <c r="B70" s="13">
        <f>IF([1]Plan1!B72&lt;&gt;"",[1]Plan1!B72,"")</f>
        <v>44844.343248958336</v>
      </c>
      <c r="C70" s="12">
        <f>IF([1]Plan1!D72&lt;&gt;"",[1]Plan1!D72,"")</f>
        <v>1000</v>
      </c>
      <c r="D70" s="13">
        <f>IF([1]Plan1!E72&lt;&gt;"",[1]Plan1!E72,"")</f>
        <v>44854</v>
      </c>
      <c r="E70" s="3">
        <f>IF([1]Plan1!C72&lt;&gt;"",[1]Plan1!C72,"")</f>
        <v>44845.672788657408</v>
      </c>
      <c r="F70" t="str">
        <f t="shared" ca="1" si="1"/>
        <v>OK</v>
      </c>
    </row>
    <row r="71" spans="1:6" hidden="1" x14ac:dyDescent="0.25">
      <c r="A71" s="12" t="str">
        <f>IF([1]Plan1!A73&lt;&gt;"",[1]Plan1!A73,"")</f>
        <v>Z.10708/08</v>
      </c>
      <c r="B71" s="13">
        <f>IF([1]Plan1!B73&lt;&gt;"",[1]Plan1!B73,"")</f>
        <v>44844.347717592595</v>
      </c>
      <c r="C71" s="12">
        <f>IF([1]Plan1!D73&lt;&gt;"",[1]Plan1!D73,"")</f>
        <v>60000</v>
      </c>
      <c r="D71" s="13">
        <f>IF([1]Plan1!E73&lt;&gt;"",[1]Plan1!E73,"")</f>
        <v>44845</v>
      </c>
      <c r="E71" s="3">
        <f>IF([1]Plan1!C73&lt;&gt;"",[1]Plan1!C73,"")</f>
        <v>44845.672788657408</v>
      </c>
      <c r="F71" t="str">
        <f t="shared" ca="1" si="1"/>
        <v>OK</v>
      </c>
    </row>
    <row r="72" spans="1:6" hidden="1" x14ac:dyDescent="0.25">
      <c r="A72" s="12" t="str">
        <f>IF([1]Plan1!A74&lt;&gt;"",[1]Plan1!A74,"")</f>
        <v>E.81641</v>
      </c>
      <c r="B72" s="13">
        <f>IF([1]Plan1!B74&lt;&gt;"",[1]Plan1!B74,"")</f>
        <v>44776.407976967595</v>
      </c>
      <c r="C72" s="12" t="str">
        <f>IF([1]Plan1!D74&lt;&gt;"",[1]Plan1!D74,"")</f>
        <v/>
      </c>
      <c r="D72" s="13" t="str">
        <f>IF([1]Plan1!E74&lt;&gt;"",[1]Plan1!E74,"")</f>
        <v>sem pedido</v>
      </c>
      <c r="E72" s="3">
        <f>IF([1]Plan1!C74&lt;&gt;"",[1]Plan1!C74,"")</f>
        <v>44845.672788657408</v>
      </c>
      <c r="F72" t="str">
        <f t="shared" ca="1" si="1"/>
        <v>OK</v>
      </c>
    </row>
    <row r="73" spans="1:6" x14ac:dyDescent="0.25">
      <c r="A73" s="12" t="str">
        <f>IF([1]Plan1!A75&lt;&gt;"",[1]Plan1!A75,"")</f>
        <v>SALT.8519397</v>
      </c>
      <c r="B73" s="13">
        <f>IF([1]Plan1!B75&lt;&gt;"",[1]Plan1!B75,"")</f>
        <v>44844.457735995369</v>
      </c>
      <c r="C73" s="12">
        <f>IF([1]Plan1!D75&lt;&gt;"",[1]Plan1!D75,"")</f>
        <v>1000</v>
      </c>
      <c r="D73" s="13" t="str">
        <f>IF([1]Plan1!E75&lt;&gt;"",[1]Plan1!E75,"")</f>
        <v>15/10/2022 A/C João</v>
      </c>
      <c r="E73" s="3" t="str">
        <f>IF([1]Plan1!C75&lt;&gt;"",[1]Plan1!C75,"")</f>
        <v/>
      </c>
      <c r="F73" t="str">
        <f t="shared" ca="1" si="1"/>
        <v>OK</v>
      </c>
    </row>
    <row r="74" spans="1:6" x14ac:dyDescent="0.25">
      <c r="A74" s="12" t="str">
        <f>IF([1]Plan1!A76&lt;&gt;"",[1]Plan1!A76,"")</f>
        <v>E.70315 P1,P2,P3</v>
      </c>
      <c r="B74" s="13">
        <f>IF([1]Plan1!B76&lt;&gt;"",[1]Plan1!B76,"")</f>
        <v>44844.458405555553</v>
      </c>
      <c r="C74" s="12" t="str">
        <f>IF([1]Plan1!D76&lt;&gt;"",[1]Plan1!D76,"")</f>
        <v/>
      </c>
      <c r="D74" s="13" t="str">
        <f>IF([1]Plan1!E76&lt;&gt;"",[1]Plan1!E76,"")</f>
        <v>sem pedido</v>
      </c>
      <c r="E74" s="3" t="str">
        <f>IF([1]Plan1!C76&lt;&gt;"",[1]Plan1!C76,"")</f>
        <v/>
      </c>
      <c r="F74" t="str">
        <f t="shared" ca="1" si="1"/>
        <v>OK</v>
      </c>
    </row>
    <row r="75" spans="1:6" x14ac:dyDescent="0.25">
      <c r="A75" s="12" t="str">
        <f>IF([1]Plan1!A77&lt;&gt;"",[1]Plan1!A77,"")</f>
        <v>P.90650/03</v>
      </c>
      <c r="B75" s="13">
        <f>IF([1]Plan1!B77&lt;&gt;"",[1]Plan1!B77,"")</f>
        <v>44845.442668055555</v>
      </c>
      <c r="C75" s="12">
        <f>IF([1]Plan1!D77&lt;&gt;"",[1]Plan1!D77,"")</f>
        <v>16000</v>
      </c>
      <c r="D75" s="13">
        <f>IF([1]Plan1!E77&lt;&gt;"",[1]Plan1!E77,"")</f>
        <v>44855</v>
      </c>
      <c r="E75" s="3" t="str">
        <f>IF([1]Plan1!C77&lt;&gt;"",[1]Plan1!C77,"")</f>
        <v/>
      </c>
      <c r="F75" t="str">
        <f t="shared" ca="1" si="1"/>
        <v>OK</v>
      </c>
    </row>
    <row r="76" spans="1:6" x14ac:dyDescent="0.25">
      <c r="A76" s="12" t="str">
        <f>IF([1]Plan1!A78&lt;&gt;"",[1]Plan1!A78,"")</f>
        <v>M.0100/10</v>
      </c>
      <c r="B76" s="13">
        <f>IF([1]Plan1!B78&lt;&gt;"",[1]Plan1!B78,"")</f>
        <v>44845.66058935185</v>
      </c>
      <c r="C76" s="12">
        <f>IF([1]Plan1!D78&lt;&gt;"",[1]Plan1!D78,"")</f>
        <v>1600</v>
      </c>
      <c r="D76" s="13" t="str">
        <f>IF([1]Plan1!E78&lt;&gt;"",[1]Plan1!E78,"")</f>
        <v>29/07;15/09;28/09;27/10</v>
      </c>
      <c r="E76" s="3" t="str">
        <f>IF([1]Plan1!C78&lt;&gt;"",[1]Plan1!C78,"")</f>
        <v/>
      </c>
      <c r="F76" t="str">
        <f t="shared" ca="1" si="1"/>
        <v>OK</v>
      </c>
    </row>
    <row r="77" spans="1:6" x14ac:dyDescent="0.25">
      <c r="A77" s="12" t="str">
        <f>IF([1]Plan1!A79&lt;&gt;"",[1]Plan1!A79,"")</f>
        <v>E.81267</v>
      </c>
      <c r="B77" s="13">
        <f>IF([1]Plan1!B79&lt;&gt;"",[1]Plan1!B79,"")</f>
        <v>44845.672788657408</v>
      </c>
      <c r="C77" s="12">
        <f>IF([1]Plan1!D79&lt;&gt;"",[1]Plan1!D79,"")</f>
        <v>196000</v>
      </c>
      <c r="D77" s="13">
        <f>IF([1]Plan1!E79&lt;&gt;"",[1]Plan1!E79,"")</f>
        <v>44851</v>
      </c>
      <c r="E77" s="3" t="str">
        <f>IF([1]Plan1!C79&lt;&gt;"",[1]Plan1!C79,"")</f>
        <v/>
      </c>
      <c r="F77" t="str">
        <f t="shared" ca="1" si="1"/>
        <v>OK</v>
      </c>
    </row>
    <row r="78" spans="1:6" x14ac:dyDescent="0.25">
      <c r="A78" s="12" t="str">
        <f>IF([1]Plan1!A80&lt;&gt;"",[1]Plan1!A80,"")</f>
        <v/>
      </c>
      <c r="B78" s="13" t="str">
        <f>IF([1]Plan1!B80&lt;&gt;"",[1]Plan1!B80,"")</f>
        <v/>
      </c>
      <c r="C78" s="12" t="str">
        <f>IF([1]Plan1!D80&lt;&gt;"",[1]Plan1!D80,"")</f>
        <v/>
      </c>
      <c r="D78" s="13" t="str">
        <f>IF([1]Plan1!E80&lt;&gt;"",[1]Plan1!E80,"")</f>
        <v/>
      </c>
      <c r="E78" s="3" t="str">
        <f>IF([1]Plan1!C80&lt;&gt;"",[1]Plan1!C80,"")</f>
        <v/>
      </c>
      <c r="F78" t="str">
        <f t="shared" ca="1" si="1"/>
        <v>OK</v>
      </c>
    </row>
    <row r="79" spans="1:6" x14ac:dyDescent="0.25">
      <c r="A79" s="12" t="str">
        <f>IF([1]Plan1!A81&lt;&gt;"",[1]Plan1!A81,"")</f>
        <v/>
      </c>
      <c r="B79" s="13" t="str">
        <f>IF([1]Plan1!B81&lt;&gt;"",[1]Plan1!B81,"")</f>
        <v/>
      </c>
      <c r="C79" s="12" t="str">
        <f>IF([1]Plan1!D81&lt;&gt;"",[1]Plan1!D81,"")</f>
        <v/>
      </c>
      <c r="D79" s="13" t="str">
        <f>IF([1]Plan1!E81&lt;&gt;"",[1]Plan1!E81,"")</f>
        <v/>
      </c>
      <c r="E79" s="3" t="str">
        <f>IF([1]Plan1!C81&lt;&gt;"",[1]Plan1!C81,"")</f>
        <v/>
      </c>
      <c r="F79" t="str">
        <f t="shared" ca="1" si="1"/>
        <v>OK</v>
      </c>
    </row>
    <row r="80" spans="1:6" x14ac:dyDescent="0.25">
      <c r="A80" s="12" t="str">
        <f>IF([1]Plan1!A82&lt;&gt;"",[1]Plan1!A82,"")</f>
        <v/>
      </c>
      <c r="B80" s="13" t="str">
        <f>IF([1]Plan1!B82&lt;&gt;"",[1]Plan1!B82,"")</f>
        <v/>
      </c>
      <c r="C80" s="12" t="str">
        <f>IF([1]Plan1!D82&lt;&gt;"",[1]Plan1!D82,"")</f>
        <v/>
      </c>
      <c r="D80" s="13" t="str">
        <f>IF([1]Plan1!E82&lt;&gt;"",[1]Plan1!E82,"")</f>
        <v/>
      </c>
      <c r="E80" s="3" t="str">
        <f>IF([1]Plan1!C82&lt;&gt;"",[1]Plan1!C82,"")</f>
        <v/>
      </c>
      <c r="F80" t="str">
        <f t="shared" ca="1" si="1"/>
        <v>OK</v>
      </c>
    </row>
    <row r="81" spans="1:6" x14ac:dyDescent="0.25">
      <c r="A81" s="12" t="str">
        <f>IF([1]Plan1!A83&lt;&gt;"",[1]Plan1!A83,"")</f>
        <v/>
      </c>
      <c r="B81" s="13" t="str">
        <f>IF([1]Plan1!B83&lt;&gt;"",[1]Plan1!B83,"")</f>
        <v/>
      </c>
      <c r="C81" s="12" t="str">
        <f>IF([1]Plan1!D83&lt;&gt;"",[1]Plan1!D83,"")</f>
        <v/>
      </c>
      <c r="D81" s="13" t="str">
        <f>IF([1]Plan1!E83&lt;&gt;"",[1]Plan1!E83,"")</f>
        <v/>
      </c>
      <c r="E81" s="3" t="str">
        <f>IF([1]Plan1!C83&lt;&gt;"",[1]Plan1!C83,"")</f>
        <v/>
      </c>
      <c r="F81" t="str">
        <f t="shared" ca="1" si="1"/>
        <v>OK</v>
      </c>
    </row>
    <row r="82" spans="1:6" x14ac:dyDescent="0.25">
      <c r="A82" s="12" t="str">
        <f>IF([1]Plan1!A84&lt;&gt;"",[1]Plan1!A84,"")</f>
        <v/>
      </c>
      <c r="B82" s="13" t="str">
        <f>IF([1]Plan1!B84&lt;&gt;"",[1]Plan1!B84,"")</f>
        <v/>
      </c>
      <c r="C82" s="12" t="str">
        <f>IF([1]Plan1!D84&lt;&gt;"",[1]Plan1!D84,"")</f>
        <v/>
      </c>
      <c r="D82" s="13" t="str">
        <f>IF([1]Plan1!E84&lt;&gt;"",[1]Plan1!E84,"")</f>
        <v/>
      </c>
      <c r="E82" s="3" t="str">
        <f>IF([1]Plan1!C84&lt;&gt;"",[1]Plan1!C84,"")</f>
        <v/>
      </c>
      <c r="F82" t="str">
        <f t="shared" ca="1" si="1"/>
        <v>OK</v>
      </c>
    </row>
    <row r="83" spans="1:6" x14ac:dyDescent="0.25">
      <c r="A83" s="12" t="str">
        <f>IF([1]Plan1!A85&lt;&gt;"",[1]Plan1!A85,"")</f>
        <v/>
      </c>
      <c r="B83" s="13" t="str">
        <f>IF([1]Plan1!B85&lt;&gt;"",[1]Plan1!B85,"")</f>
        <v/>
      </c>
      <c r="C83" s="12" t="str">
        <f>IF([1]Plan1!D85&lt;&gt;"",[1]Plan1!D85,"")</f>
        <v/>
      </c>
      <c r="D83" s="13" t="str">
        <f>IF([1]Plan1!E85&lt;&gt;"",[1]Plan1!E85,"")</f>
        <v/>
      </c>
      <c r="E83" s="3" t="str">
        <f>IF([1]Plan1!C85&lt;&gt;"",[1]Plan1!C85,"")</f>
        <v/>
      </c>
      <c r="F83" t="str">
        <f t="shared" ca="1" si="1"/>
        <v>OK</v>
      </c>
    </row>
    <row r="84" spans="1:6" x14ac:dyDescent="0.25">
      <c r="A84" s="12" t="str">
        <f>IF([1]Plan1!A86&lt;&gt;"",[1]Plan1!A86,"")</f>
        <v/>
      </c>
      <c r="B84" s="13" t="str">
        <f>IF([1]Plan1!B86&lt;&gt;"",[1]Plan1!B86,"")</f>
        <v/>
      </c>
      <c r="C84" s="12" t="str">
        <f>IF([1]Plan1!D86&lt;&gt;"",[1]Plan1!D86,"")</f>
        <v/>
      </c>
      <c r="D84" s="13" t="str">
        <f>IF([1]Plan1!E86&lt;&gt;"",[1]Plan1!E86,"")</f>
        <v/>
      </c>
      <c r="E84" s="3" t="str">
        <f>IF([1]Plan1!C86&lt;&gt;"",[1]Plan1!C86,"")</f>
        <v/>
      </c>
      <c r="F84" t="str">
        <f t="shared" ca="1" si="1"/>
        <v>OK</v>
      </c>
    </row>
    <row r="85" spans="1:6" x14ac:dyDescent="0.25">
      <c r="A85" s="12" t="str">
        <f>IF([1]Plan1!A87&lt;&gt;"",[1]Plan1!A87,"")</f>
        <v/>
      </c>
      <c r="B85" s="13" t="str">
        <f>IF([1]Plan1!B87&lt;&gt;"",[1]Plan1!B87,"")</f>
        <v/>
      </c>
      <c r="C85" s="12" t="str">
        <f>IF([1]Plan1!D87&lt;&gt;"",[1]Plan1!D87,"")</f>
        <v/>
      </c>
      <c r="D85" s="13" t="str">
        <f>IF([1]Plan1!E87&lt;&gt;"",[1]Plan1!E87,"")</f>
        <v/>
      </c>
      <c r="E85" s="3" t="str">
        <f>IF([1]Plan1!C87&lt;&gt;"",[1]Plan1!C87,"")</f>
        <v/>
      </c>
      <c r="F85" t="str">
        <f t="shared" ca="1" si="1"/>
        <v>OK</v>
      </c>
    </row>
    <row r="86" spans="1:6" x14ac:dyDescent="0.25">
      <c r="A86" s="12" t="str">
        <f>IF([1]Plan1!A88&lt;&gt;"",[1]Plan1!A88,"")</f>
        <v/>
      </c>
      <c r="B86" s="13" t="str">
        <f>IF([1]Plan1!B88&lt;&gt;"",[1]Plan1!B88,"")</f>
        <v/>
      </c>
      <c r="C86" s="12" t="str">
        <f>IF([1]Plan1!D88&lt;&gt;"",[1]Plan1!D88,"")</f>
        <v/>
      </c>
      <c r="D86" s="13" t="str">
        <f>IF([1]Plan1!E88&lt;&gt;"",[1]Plan1!E88,"")</f>
        <v/>
      </c>
      <c r="E86" s="3" t="str">
        <f>IF([1]Plan1!C88&lt;&gt;"",[1]Plan1!C88,"")</f>
        <v/>
      </c>
      <c r="F86" t="str">
        <f t="shared" ca="1" si="1"/>
        <v>OK</v>
      </c>
    </row>
    <row r="87" spans="1:6" x14ac:dyDescent="0.25">
      <c r="A87" s="12" t="str">
        <f>IF([1]Plan1!A89&lt;&gt;"",[1]Plan1!A89,"")</f>
        <v/>
      </c>
      <c r="B87" s="13" t="str">
        <f>IF([1]Plan1!B89&lt;&gt;"",[1]Plan1!B89,"")</f>
        <v/>
      </c>
      <c r="C87" s="12" t="str">
        <f>IF([1]Plan1!D89&lt;&gt;"",[1]Plan1!D89,"")</f>
        <v/>
      </c>
      <c r="D87" s="13" t="str">
        <f>IF([1]Plan1!E89&lt;&gt;"",[1]Plan1!E89,"")</f>
        <v/>
      </c>
      <c r="E87" s="3" t="str">
        <f>IF([1]Plan1!C89&lt;&gt;"",[1]Plan1!C89,"")</f>
        <v/>
      </c>
      <c r="F87" t="str">
        <f t="shared" ca="1" si="1"/>
        <v>OK</v>
      </c>
    </row>
    <row r="88" spans="1:6" x14ac:dyDescent="0.25">
      <c r="A88" s="12" t="str">
        <f>IF([1]Plan1!A90&lt;&gt;"",[1]Plan1!A90,"")</f>
        <v/>
      </c>
      <c r="B88" s="13" t="str">
        <f>IF([1]Plan1!B90&lt;&gt;"",[1]Plan1!B90,"")</f>
        <v/>
      </c>
      <c r="C88" s="12" t="str">
        <f>IF([1]Plan1!D90&lt;&gt;"",[1]Plan1!D90,"")</f>
        <v/>
      </c>
      <c r="D88" s="13" t="str">
        <f>IF([1]Plan1!E90&lt;&gt;"",[1]Plan1!E90,"")</f>
        <v/>
      </c>
      <c r="E88" s="3" t="str">
        <f>IF([1]Plan1!C90&lt;&gt;"",[1]Plan1!C90,"")</f>
        <v/>
      </c>
      <c r="F88" t="str">
        <f t="shared" ca="1" si="1"/>
        <v>OK</v>
      </c>
    </row>
    <row r="89" spans="1:6" x14ac:dyDescent="0.25">
      <c r="A89" s="12" t="str">
        <f>IF([1]Plan1!A91&lt;&gt;"",[1]Plan1!A91,"")</f>
        <v/>
      </c>
      <c r="B89" s="13" t="str">
        <f>IF([1]Plan1!B91&lt;&gt;"",[1]Plan1!B91,"")</f>
        <v/>
      </c>
      <c r="C89" s="12" t="str">
        <f>IF([1]Plan1!D91&lt;&gt;"",[1]Plan1!D91,"")</f>
        <v/>
      </c>
      <c r="D89" s="13" t="str">
        <f>IF([1]Plan1!E91&lt;&gt;"",[1]Plan1!E91,"")</f>
        <v/>
      </c>
      <c r="E89" s="3" t="str">
        <f>IF([1]Plan1!C91&lt;&gt;"",[1]Plan1!C91,"")</f>
        <v/>
      </c>
      <c r="F89" t="str">
        <f t="shared" ca="1" si="1"/>
        <v>OK</v>
      </c>
    </row>
    <row r="90" spans="1:6" x14ac:dyDescent="0.25">
      <c r="A90" s="12" t="str">
        <f>IF([1]Plan1!A92&lt;&gt;"",[1]Plan1!A92,"")</f>
        <v/>
      </c>
      <c r="B90" s="13" t="str">
        <f>IF([1]Plan1!B92&lt;&gt;"",[1]Plan1!B92,"")</f>
        <v/>
      </c>
      <c r="C90" s="12" t="str">
        <f>IF([1]Plan1!D92&lt;&gt;"",[1]Plan1!D92,"")</f>
        <v/>
      </c>
      <c r="D90" s="13" t="str">
        <f>IF([1]Plan1!E92&lt;&gt;"",[1]Plan1!E92,"")</f>
        <v/>
      </c>
      <c r="E90" s="3" t="str">
        <f>IF([1]Plan1!C92&lt;&gt;"",[1]Plan1!C92,"")</f>
        <v/>
      </c>
      <c r="F90" t="str">
        <f t="shared" ca="1" si="1"/>
        <v>OK</v>
      </c>
    </row>
    <row r="91" spans="1:6" x14ac:dyDescent="0.25">
      <c r="A91" s="12" t="str">
        <f>IF([1]Plan1!A93&lt;&gt;"",[1]Plan1!A93,"")</f>
        <v/>
      </c>
      <c r="B91" s="13" t="str">
        <f>IF([1]Plan1!B93&lt;&gt;"",[1]Plan1!B93,"")</f>
        <v/>
      </c>
      <c r="C91" s="12" t="str">
        <f>IF([1]Plan1!D93&lt;&gt;"",[1]Plan1!D93,"")</f>
        <v/>
      </c>
      <c r="D91" s="13" t="str">
        <f>IF([1]Plan1!E93&lt;&gt;"",[1]Plan1!E93,"")</f>
        <v/>
      </c>
      <c r="E91" s="3" t="str">
        <f>IF([1]Plan1!C93&lt;&gt;"",[1]Plan1!C93,"")</f>
        <v/>
      </c>
      <c r="F91" t="str">
        <f t="shared" ca="1" si="1"/>
        <v>OK</v>
      </c>
    </row>
    <row r="92" spans="1:6" x14ac:dyDescent="0.25">
      <c r="A92" s="12" t="str">
        <f>IF([1]Plan1!A94&lt;&gt;"",[1]Plan1!A94,"")</f>
        <v/>
      </c>
      <c r="B92" s="13" t="str">
        <f>IF([1]Plan1!B94&lt;&gt;"",[1]Plan1!B94,"")</f>
        <v/>
      </c>
      <c r="C92" s="12" t="str">
        <f>IF([1]Plan1!D94&lt;&gt;"",[1]Plan1!D94,"")</f>
        <v/>
      </c>
      <c r="D92" s="13" t="str">
        <f>IF([1]Plan1!E94&lt;&gt;"",[1]Plan1!E94,"")</f>
        <v/>
      </c>
      <c r="E92" s="3" t="str">
        <f>IF([1]Plan1!C94&lt;&gt;"",[1]Plan1!C94,"")</f>
        <v/>
      </c>
      <c r="F92" t="str">
        <f t="shared" ca="1" si="1"/>
        <v>OK</v>
      </c>
    </row>
    <row r="93" spans="1:6" x14ac:dyDescent="0.25">
      <c r="A93" s="12" t="str">
        <f>IF([1]Plan1!A95&lt;&gt;"",[1]Plan1!A95,"")</f>
        <v/>
      </c>
      <c r="B93" s="13" t="str">
        <f>IF([1]Plan1!B95&lt;&gt;"",[1]Plan1!B95,"")</f>
        <v/>
      </c>
      <c r="C93" s="12" t="str">
        <f>IF([1]Plan1!D95&lt;&gt;"",[1]Plan1!D95,"")</f>
        <v/>
      </c>
      <c r="D93" s="13" t="str">
        <f>IF([1]Plan1!E95&lt;&gt;"",[1]Plan1!E95,"")</f>
        <v/>
      </c>
      <c r="E93" s="3" t="str">
        <f>IF([1]Plan1!C95&lt;&gt;"",[1]Plan1!C95,"")</f>
        <v/>
      </c>
      <c r="F93" t="str">
        <f t="shared" ca="1" si="1"/>
        <v>OK</v>
      </c>
    </row>
    <row r="94" spans="1:6" x14ac:dyDescent="0.25">
      <c r="A94" s="12" t="str">
        <f>IF([1]Plan1!A96&lt;&gt;"",[1]Plan1!A96,"")</f>
        <v/>
      </c>
      <c r="B94" s="13" t="str">
        <f>IF([1]Plan1!B96&lt;&gt;"",[1]Plan1!B96,"")</f>
        <v/>
      </c>
      <c r="C94" s="12" t="str">
        <f>IF([1]Plan1!D96&lt;&gt;"",[1]Plan1!D96,"")</f>
        <v/>
      </c>
      <c r="D94" s="13" t="str">
        <f>IF([1]Plan1!E96&lt;&gt;"",[1]Plan1!E96,"")</f>
        <v/>
      </c>
      <c r="E94" s="3" t="str">
        <f>IF([1]Plan1!C96&lt;&gt;"",[1]Plan1!C96,"")</f>
        <v/>
      </c>
      <c r="F94" t="str">
        <f t="shared" ca="1" si="1"/>
        <v>OK</v>
      </c>
    </row>
    <row r="95" spans="1:6" x14ac:dyDescent="0.25">
      <c r="A95" s="12" t="str">
        <f>IF([1]Plan1!A97&lt;&gt;"",[1]Plan1!A97,"")</f>
        <v/>
      </c>
      <c r="B95" s="13" t="str">
        <f>IF([1]Plan1!B97&lt;&gt;"",[1]Plan1!B97,"")</f>
        <v/>
      </c>
      <c r="C95" s="12" t="str">
        <f>IF([1]Plan1!D97&lt;&gt;"",[1]Plan1!D97,"")</f>
        <v/>
      </c>
      <c r="D95" s="13" t="str">
        <f>IF([1]Plan1!E97&lt;&gt;"",[1]Plan1!E97,"")</f>
        <v/>
      </c>
      <c r="E95" s="3" t="str">
        <f>IF([1]Plan1!C97&lt;&gt;"",[1]Plan1!C97,"")</f>
        <v/>
      </c>
      <c r="F95" t="str">
        <f t="shared" ca="1" si="1"/>
        <v>OK</v>
      </c>
    </row>
    <row r="96" spans="1:6" x14ac:dyDescent="0.25">
      <c r="A96" s="12" t="str">
        <f>IF([1]Plan1!A98&lt;&gt;"",[1]Plan1!A98,"")</f>
        <v/>
      </c>
      <c r="B96" s="13" t="str">
        <f>IF([1]Plan1!B98&lt;&gt;"",[1]Plan1!B98,"")</f>
        <v/>
      </c>
      <c r="C96" s="12" t="str">
        <f>IF([1]Plan1!D98&lt;&gt;"",[1]Plan1!D98,"")</f>
        <v/>
      </c>
      <c r="D96" s="13" t="str">
        <f>IF([1]Plan1!E98&lt;&gt;"",[1]Plan1!E98,"")</f>
        <v/>
      </c>
      <c r="E96" s="3" t="str">
        <f>IF([1]Plan1!C98&lt;&gt;"",[1]Plan1!C98,"")</f>
        <v/>
      </c>
      <c r="F96" t="str">
        <f t="shared" ca="1" si="1"/>
        <v>OK</v>
      </c>
    </row>
    <row r="97" spans="1:6" x14ac:dyDescent="0.25">
      <c r="A97" s="12" t="str">
        <f>IF([1]Plan1!A99&lt;&gt;"",[1]Plan1!A99,"")</f>
        <v/>
      </c>
      <c r="B97" s="13" t="str">
        <f>IF([1]Plan1!B99&lt;&gt;"",[1]Plan1!B99,"")</f>
        <v/>
      </c>
      <c r="C97" s="12" t="str">
        <f>IF([1]Plan1!D99&lt;&gt;"",[1]Plan1!D99,"")</f>
        <v/>
      </c>
      <c r="D97" s="13" t="str">
        <f>IF([1]Plan1!E99&lt;&gt;"",[1]Plan1!E99,"")</f>
        <v/>
      </c>
      <c r="E97" s="3" t="str">
        <f>IF([1]Plan1!C99&lt;&gt;"",[1]Plan1!C99,"")</f>
        <v/>
      </c>
      <c r="F97" t="str">
        <f t="shared" ca="1" si="1"/>
        <v>OK</v>
      </c>
    </row>
    <row r="98" spans="1:6" x14ac:dyDescent="0.25">
      <c r="A98" s="12" t="str">
        <f>IF([1]Plan1!A100&lt;&gt;"",[1]Plan1!A100,"")</f>
        <v/>
      </c>
      <c r="B98" s="13" t="str">
        <f>IF([1]Plan1!B100&lt;&gt;"",[1]Plan1!B100,"")</f>
        <v/>
      </c>
      <c r="C98" s="12" t="str">
        <f>IF([1]Plan1!D100&lt;&gt;"",[1]Plan1!D100,"")</f>
        <v/>
      </c>
      <c r="D98" s="13" t="str">
        <f>IF([1]Plan1!E100&lt;&gt;"",[1]Plan1!E100,"")</f>
        <v/>
      </c>
      <c r="E98" s="3" t="str">
        <f>IF([1]Plan1!C100&lt;&gt;"",[1]Plan1!C100,"")</f>
        <v/>
      </c>
      <c r="F98" t="str">
        <f t="shared" ca="1" si="1"/>
        <v>OK</v>
      </c>
    </row>
    <row r="99" spans="1:6" x14ac:dyDescent="0.25">
      <c r="A99" s="12" t="str">
        <f>IF([1]Plan1!A101&lt;&gt;"",[1]Plan1!A101,"")</f>
        <v/>
      </c>
      <c r="B99" s="13" t="str">
        <f>IF([1]Plan1!B101&lt;&gt;"",[1]Plan1!B101,"")</f>
        <v/>
      </c>
      <c r="C99" s="12" t="str">
        <f>IF([1]Plan1!D101&lt;&gt;"",[1]Plan1!D101,"")</f>
        <v/>
      </c>
      <c r="D99" s="13" t="str">
        <f>IF([1]Plan1!E101&lt;&gt;"",[1]Plan1!E101,"")</f>
        <v/>
      </c>
      <c r="E99" s="3" t="str">
        <f>IF([1]Plan1!C101&lt;&gt;"",[1]Plan1!C101,"")</f>
        <v/>
      </c>
      <c r="F99" t="str">
        <f t="shared" ca="1" si="1"/>
        <v>OK</v>
      </c>
    </row>
    <row r="100" spans="1:6" x14ac:dyDescent="0.25">
      <c r="A100" s="12" t="str">
        <f>IF([1]Plan1!A102&lt;&gt;"",[1]Plan1!A102,"")</f>
        <v/>
      </c>
      <c r="B100" s="13" t="str">
        <f>IF([1]Plan1!B102&lt;&gt;"",[1]Plan1!B102,"")</f>
        <v/>
      </c>
      <c r="C100" s="12" t="str">
        <f>IF([1]Plan1!D102&lt;&gt;"",[1]Plan1!D102,"")</f>
        <v/>
      </c>
      <c r="D100" s="13" t="str">
        <f>IF([1]Plan1!E102&lt;&gt;"",[1]Plan1!E102,"")</f>
        <v/>
      </c>
      <c r="E100" s="3" t="str">
        <f>IF([1]Plan1!C102&lt;&gt;"",[1]Plan1!C102,"")</f>
        <v/>
      </c>
      <c r="F100" t="str">
        <f t="shared" ca="1" si="1"/>
        <v>OK</v>
      </c>
    </row>
    <row r="101" spans="1:6" x14ac:dyDescent="0.25">
      <c r="A101" s="12" t="str">
        <f>IF([1]Plan1!A103&lt;&gt;"",[1]Plan1!A103,"")</f>
        <v/>
      </c>
      <c r="B101" s="13" t="str">
        <f>IF([1]Plan1!B103&lt;&gt;"",[1]Plan1!B103,"")</f>
        <v/>
      </c>
      <c r="C101" s="12" t="str">
        <f>IF([1]Plan1!D103&lt;&gt;"",[1]Plan1!D103,"")</f>
        <v/>
      </c>
      <c r="D101" s="13" t="str">
        <f>IF([1]Plan1!E103&lt;&gt;"",[1]Plan1!E103,"")</f>
        <v/>
      </c>
      <c r="E101" s="3" t="str">
        <f>IF([1]Plan1!C103&lt;&gt;"",[1]Plan1!C103,"")</f>
        <v/>
      </c>
      <c r="F101" t="str">
        <f t="shared" ca="1" si="1"/>
        <v>OK</v>
      </c>
    </row>
    <row r="102" spans="1:6" x14ac:dyDescent="0.25">
      <c r="A102" s="12" t="str">
        <f>IF([1]Plan1!A104&lt;&gt;"",[1]Plan1!A104,"")</f>
        <v/>
      </c>
      <c r="B102" s="13" t="str">
        <f>IF([1]Plan1!B104&lt;&gt;"",[1]Plan1!B104,"")</f>
        <v/>
      </c>
      <c r="C102" s="12" t="str">
        <f>IF([1]Plan1!D104&lt;&gt;"",[1]Plan1!D104,"")</f>
        <v/>
      </c>
      <c r="D102" s="13" t="str">
        <f>IF([1]Plan1!E104&lt;&gt;"",[1]Plan1!E104,"")</f>
        <v/>
      </c>
      <c r="E102" s="3" t="str">
        <f>IF([1]Plan1!C104&lt;&gt;"",[1]Plan1!C104,"")</f>
        <v/>
      </c>
      <c r="F102" t="str">
        <f t="shared" ca="1" si="1"/>
        <v>OK</v>
      </c>
    </row>
    <row r="103" spans="1:6" x14ac:dyDescent="0.25">
      <c r="A103" s="12" t="str">
        <f>IF([1]Plan1!A105&lt;&gt;"",[1]Plan1!A105,"")</f>
        <v/>
      </c>
      <c r="B103" s="13" t="str">
        <f>IF([1]Plan1!B105&lt;&gt;"",[1]Plan1!B105,"")</f>
        <v/>
      </c>
      <c r="C103" s="12" t="str">
        <f>IF([1]Plan1!D105&lt;&gt;"",[1]Plan1!D105,"")</f>
        <v/>
      </c>
      <c r="D103" s="13" t="str">
        <f>IF([1]Plan1!E105&lt;&gt;"",[1]Plan1!E105,"")</f>
        <v/>
      </c>
      <c r="E103" s="3" t="str">
        <f>IF([1]Plan1!C105&lt;&gt;"",[1]Plan1!C105,"")</f>
        <v/>
      </c>
      <c r="F103" t="str">
        <f t="shared" ca="1" si="1"/>
        <v>OK</v>
      </c>
    </row>
    <row r="104" spans="1:6" x14ac:dyDescent="0.25">
      <c r="A104" s="12" t="str">
        <f>IF([1]Plan1!A106&lt;&gt;"",[1]Plan1!A106,"")</f>
        <v/>
      </c>
      <c r="B104" s="13" t="str">
        <f>IF([1]Plan1!B106&lt;&gt;"",[1]Plan1!B106,"")</f>
        <v/>
      </c>
      <c r="C104" s="12" t="str">
        <f>IF([1]Plan1!D106&lt;&gt;"",[1]Plan1!D106,"")</f>
        <v/>
      </c>
      <c r="D104" s="13" t="str">
        <f>IF([1]Plan1!E106&lt;&gt;"",[1]Plan1!E106,"")</f>
        <v/>
      </c>
      <c r="E104" s="3" t="str">
        <f>IF([1]Plan1!C106&lt;&gt;"",[1]Plan1!C106,"")</f>
        <v/>
      </c>
      <c r="F104" t="str">
        <f t="shared" ca="1" si="1"/>
        <v>OK</v>
      </c>
    </row>
    <row r="105" spans="1:6" x14ac:dyDescent="0.25">
      <c r="A105" s="12" t="str">
        <f>IF([1]Plan1!A107&lt;&gt;"",[1]Plan1!A107,"")</f>
        <v/>
      </c>
      <c r="B105" s="13" t="str">
        <f>IF([1]Plan1!B107&lt;&gt;"",[1]Plan1!B107,"")</f>
        <v/>
      </c>
      <c r="C105" s="12" t="str">
        <f>IF([1]Plan1!D107&lt;&gt;"",[1]Plan1!D107,"")</f>
        <v/>
      </c>
      <c r="D105" s="13" t="str">
        <f>IF([1]Plan1!E107&lt;&gt;"",[1]Plan1!E107,"")</f>
        <v/>
      </c>
      <c r="E105" s="3" t="str">
        <f>IF([1]Plan1!C107&lt;&gt;"",[1]Plan1!C107,"")</f>
        <v/>
      </c>
      <c r="F105" t="str">
        <f t="shared" ca="1" si="1"/>
        <v>OK</v>
      </c>
    </row>
    <row r="106" spans="1:6" x14ac:dyDescent="0.25">
      <c r="A106" s="12" t="str">
        <f>IF([1]Plan1!A108&lt;&gt;"",[1]Plan1!A108,"")</f>
        <v/>
      </c>
      <c r="B106" s="13" t="str">
        <f>IF([1]Plan1!B108&lt;&gt;"",[1]Plan1!B108,"")</f>
        <v/>
      </c>
      <c r="C106" s="12" t="str">
        <f>IF([1]Plan1!D108&lt;&gt;"",[1]Plan1!D108,"")</f>
        <v/>
      </c>
      <c r="D106" s="13" t="str">
        <f>IF([1]Plan1!E108&lt;&gt;"",[1]Plan1!E108,"")</f>
        <v/>
      </c>
      <c r="E106" s="3" t="str">
        <f>IF([1]Plan1!C108&lt;&gt;"",[1]Plan1!C108,"")</f>
        <v/>
      </c>
      <c r="F106" t="str">
        <f t="shared" ca="1" si="1"/>
        <v>OK</v>
      </c>
    </row>
    <row r="107" spans="1:6" x14ac:dyDescent="0.25">
      <c r="A107" s="12" t="str">
        <f>IF([1]Plan1!A109&lt;&gt;"",[1]Plan1!A109,"")</f>
        <v/>
      </c>
      <c r="B107" s="13" t="str">
        <f>IF([1]Plan1!B109&lt;&gt;"",[1]Plan1!B109,"")</f>
        <v/>
      </c>
      <c r="C107" s="12" t="str">
        <f>IF([1]Plan1!D109&lt;&gt;"",[1]Plan1!D109,"")</f>
        <v/>
      </c>
      <c r="D107" s="13" t="str">
        <f>IF([1]Plan1!E109&lt;&gt;"",[1]Plan1!E109,"")</f>
        <v/>
      </c>
      <c r="E107" s="3" t="str">
        <f>IF([1]Plan1!C109&lt;&gt;"",[1]Plan1!C109,"")</f>
        <v/>
      </c>
      <c r="F107" t="str">
        <f t="shared" ca="1" si="1"/>
        <v>OK</v>
      </c>
    </row>
    <row r="108" spans="1:6" x14ac:dyDescent="0.25">
      <c r="A108" s="14" t="str">
        <f>IF([1]Plan1!A116&lt;&gt;"",[1]Plan1!A116,"")</f>
        <v/>
      </c>
      <c r="B108" s="15" t="str">
        <f>IF([1]Plan1!B116&lt;&gt;"",[1]Plan1!B116,"")</f>
        <v/>
      </c>
      <c r="C108" s="14" t="str">
        <f>IF([1]Plan1!D116&lt;&gt;"",[1]Plan1!D116,"")</f>
        <v/>
      </c>
      <c r="D108" s="15" t="str">
        <f>IF([1]Plan1!E116&lt;&gt;"",[1]Plan1!E116,"")</f>
        <v/>
      </c>
    </row>
  </sheetData>
  <autoFilter ref="A2:F108" xr:uid="{00000000-0001-0000-0000-000000000000}">
    <filterColumn colId="4">
      <filters blank="1"/>
    </filterColumn>
  </autoFilter>
  <mergeCells count="1">
    <mergeCell ref="A1:D1"/>
  </mergeCells>
  <conditionalFormatting sqref="E2 A3:E107">
    <cfRule type="expression" dxfId="3" priority="1">
      <formula>$F2="ATRASO"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8D507-EEC6-4019-AA15-F346D98ADCBB}">
  <sheetPr codeName="Planilha2"/>
  <dimension ref="A1:F51"/>
  <sheetViews>
    <sheetView tabSelected="1" workbookViewId="0">
      <selection activeCell="I13" sqref="I13"/>
    </sheetView>
  </sheetViews>
  <sheetFormatPr defaultRowHeight="15" x14ac:dyDescent="0.25"/>
  <cols>
    <col min="1" max="1" width="20.42578125" style="9" customWidth="1"/>
    <col min="2" max="2" width="18.140625" style="9" customWidth="1"/>
    <col min="3" max="3" width="16.5703125" style="9" customWidth="1"/>
    <col min="4" max="4" width="26.28515625" style="9" customWidth="1"/>
    <col min="5" max="5" width="9.140625" hidden="1" customWidth="1"/>
    <col min="6" max="6" width="10" customWidth="1"/>
  </cols>
  <sheetData>
    <row r="1" spans="1:6" ht="30" customHeight="1" thickBot="1" x14ac:dyDescent="0.3">
      <c r="A1" s="10" t="s">
        <v>1</v>
      </c>
      <c r="B1" s="11" t="s">
        <v>2</v>
      </c>
      <c r="C1" s="10" t="s">
        <v>3</v>
      </c>
      <c r="D1" s="11" t="s">
        <v>4</v>
      </c>
      <c r="E1" s="17"/>
      <c r="F1" s="18" t="s">
        <v>14</v>
      </c>
    </row>
    <row r="2" spans="1:6" ht="30" customHeight="1" x14ac:dyDescent="0.25">
      <c r="A2" s="12" t="s">
        <v>5</v>
      </c>
      <c r="B2" s="13">
        <v>44757.710403356483</v>
      </c>
      <c r="C2" s="12" t="s">
        <v>6</v>
      </c>
      <c r="D2" s="13" t="s">
        <v>7</v>
      </c>
      <c r="E2" t="str">
        <f>IFERROR(VLOOKUP(A2,[2]Principal!$A:$B,2,0),"")</f>
        <v>G:\PUBLICO\ANTONIO PCP\imagens\Screenshot_317.bmp</v>
      </c>
      <c r="F2" s="16"/>
    </row>
    <row r="3" spans="1:6" ht="30" customHeight="1" x14ac:dyDescent="0.25">
      <c r="A3" s="12" t="s">
        <v>8</v>
      </c>
      <c r="B3" s="13">
        <v>44757.710567013892</v>
      </c>
      <c r="C3" s="12" t="s">
        <v>6</v>
      </c>
      <c r="D3" s="13" t="s">
        <v>7</v>
      </c>
      <c r="E3" t="str">
        <f>IFERROR(VLOOKUP(A3,[2]Principal!$A:$B,2,0),"")</f>
        <v>G:\PUBLICO\ANTONIO PCP\imagens\Screenshot_33.bmp</v>
      </c>
      <c r="F3" s="6"/>
    </row>
    <row r="4" spans="1:6" ht="30" customHeight="1" x14ac:dyDescent="0.25">
      <c r="A4" s="12" t="s">
        <v>15</v>
      </c>
      <c r="B4" s="13">
        <v>44757.712480324073</v>
      </c>
      <c r="C4" s="12" t="s">
        <v>6</v>
      </c>
      <c r="D4" s="13" t="s">
        <v>7</v>
      </c>
      <c r="E4" t="str">
        <f>IFERROR(VLOOKUP(A4,[2]Principal!$A:$B,2,0),"")</f>
        <v>G:\PUBLICO\ANTONIO PCP\imagens\Screenshot_343.bmp</v>
      </c>
      <c r="F4" s="6"/>
    </row>
    <row r="5" spans="1:6" ht="30" customHeight="1" x14ac:dyDescent="0.25">
      <c r="A5" s="12" t="s">
        <v>9</v>
      </c>
      <c r="B5" s="13">
        <v>44776.407489930556</v>
      </c>
      <c r="C5" s="12" t="s">
        <v>6</v>
      </c>
      <c r="D5" s="13" t="s">
        <v>7</v>
      </c>
      <c r="E5" t="str">
        <f>IFERROR(VLOOKUP(A5,[2]Principal!$A:$B,2,0),"")</f>
        <v>G:\PUBLICO\ANTONIO PCP\imagens\Screenshot_344.bmp</v>
      </c>
      <c r="F5" s="6"/>
    </row>
    <row r="6" spans="1:6" ht="30" customHeight="1" x14ac:dyDescent="0.25">
      <c r="A6" s="12" t="s">
        <v>10</v>
      </c>
      <c r="B6" s="13">
        <v>44802.3975244213</v>
      </c>
      <c r="C6" s="12" t="s">
        <v>6</v>
      </c>
      <c r="D6" s="13" t="s">
        <v>7</v>
      </c>
      <c r="E6" t="str">
        <f>IFERROR(VLOOKUP(A6,[2]Principal!$A:$B,2,0),"")</f>
        <v>G:\PUBLICO\ANTONIO PCP\imagens\Screenshot_347.bmp</v>
      </c>
      <c r="F6" s="6"/>
    </row>
    <row r="7" spans="1:6" ht="30" customHeight="1" x14ac:dyDescent="0.25">
      <c r="A7" s="12" t="s">
        <v>11</v>
      </c>
      <c r="B7" s="13">
        <v>44840.712055902775</v>
      </c>
      <c r="C7" s="12">
        <v>515</v>
      </c>
      <c r="D7" s="13">
        <v>44834</v>
      </c>
      <c r="E7" t="str">
        <f>IFERROR(VLOOKUP(A7,[2]Principal!$A:$B,2,0),"")</f>
        <v>G:\PUBLICO\ANTONIO PCP\imagens\Screenshot_353.bmp</v>
      </c>
      <c r="F7" s="6"/>
    </row>
    <row r="8" spans="1:6" ht="30" customHeight="1" x14ac:dyDescent="0.25">
      <c r="A8" s="12" t="s">
        <v>12</v>
      </c>
      <c r="B8" s="13">
        <v>44840.713646990742</v>
      </c>
      <c r="C8" s="12">
        <v>30000</v>
      </c>
      <c r="D8" s="13" t="s">
        <v>13</v>
      </c>
      <c r="E8" t="str">
        <f>IFERROR(VLOOKUP(A8,[2]Principal!$A:$B,2,0),"")</f>
        <v>G:\PUBLICO\ANTONIO PCP\imagens\Screenshot_40.bmp</v>
      </c>
      <c r="F8" s="6"/>
    </row>
    <row r="9" spans="1:6" ht="30" customHeight="1" x14ac:dyDescent="0.25">
      <c r="A9" s="12" t="s">
        <v>16</v>
      </c>
      <c r="B9" s="13">
        <v>44844.34290462963</v>
      </c>
      <c r="C9" s="12">
        <v>20000</v>
      </c>
      <c r="D9" s="13">
        <v>44854</v>
      </c>
      <c r="E9" t="str">
        <f>IFERROR(VLOOKUP(A9,[2]Principal!$A:$B,2,0),"")</f>
        <v>G:\PUBLICO\ANTONIO PCP\imagens\Screenshot_202.bmp</v>
      </c>
      <c r="F9" s="6"/>
    </row>
    <row r="10" spans="1:6" ht="30" customHeight="1" x14ac:dyDescent="0.25">
      <c r="A10" s="12" t="s">
        <v>17</v>
      </c>
      <c r="B10" s="13">
        <v>44844.457735995369</v>
      </c>
      <c r="C10" s="12">
        <v>1000</v>
      </c>
      <c r="D10" s="13" t="s">
        <v>18</v>
      </c>
      <c r="E10" t="str">
        <f>IFERROR(VLOOKUP(A10,[2]Principal!$A:$B,2,0),"")</f>
        <v>G:\PUBLICO\ANTONIO PCP\imagens\Screenshot_181.bmp</v>
      </c>
      <c r="F10" s="6"/>
    </row>
    <row r="11" spans="1:6" ht="30" customHeight="1" x14ac:dyDescent="0.25">
      <c r="A11" s="12" t="s">
        <v>19</v>
      </c>
      <c r="B11" s="13">
        <v>44844.458405555553</v>
      </c>
      <c r="C11" s="12" t="s">
        <v>6</v>
      </c>
      <c r="D11" s="13" t="s">
        <v>7</v>
      </c>
      <c r="E11" t="str">
        <f>IFERROR(VLOOKUP(A11,[2]Principal!$A:$B,2,0),"")</f>
        <v/>
      </c>
      <c r="F11" s="6"/>
    </row>
    <row r="12" spans="1:6" ht="30" customHeight="1" x14ac:dyDescent="0.25">
      <c r="A12" s="12" t="s">
        <v>20</v>
      </c>
      <c r="B12" s="13">
        <v>44845.442668055555</v>
      </c>
      <c r="C12" s="12">
        <v>16000</v>
      </c>
      <c r="D12" s="13">
        <v>44855</v>
      </c>
      <c r="E12" t="str">
        <f>IFERROR(VLOOKUP(A12,[2]Principal!$A:$B,2,0),"")</f>
        <v/>
      </c>
      <c r="F12" s="6"/>
    </row>
    <row r="13" spans="1:6" ht="30" customHeight="1" x14ac:dyDescent="0.25">
      <c r="A13" s="12" t="s">
        <v>21</v>
      </c>
      <c r="B13" s="13">
        <v>44845.66058935185</v>
      </c>
      <c r="C13" s="12">
        <v>1600</v>
      </c>
      <c r="D13" s="13" t="s">
        <v>22</v>
      </c>
      <c r="E13" t="str">
        <f>IFERROR(VLOOKUP(A13,[2]Principal!$A:$B,2,0),"")</f>
        <v/>
      </c>
      <c r="F13" s="6"/>
    </row>
    <row r="14" spans="1:6" ht="30" customHeight="1" x14ac:dyDescent="0.25">
      <c r="A14" s="12" t="s">
        <v>23</v>
      </c>
      <c r="B14" s="13">
        <v>44845.672788657408</v>
      </c>
      <c r="C14" s="12">
        <v>196000</v>
      </c>
      <c r="D14" s="13">
        <v>44851</v>
      </c>
      <c r="E14" t="str">
        <f>IFERROR(VLOOKUP(A14,[2]Principal!$A:$B,2,0),"")</f>
        <v>G:\PUBLICO\ANTONIO PCP\imagens\Screenshot_50.bmp</v>
      </c>
      <c r="F14" s="6"/>
    </row>
    <row r="15" spans="1:6" ht="30" customHeight="1" x14ac:dyDescent="0.25">
      <c r="A15" s="12"/>
      <c r="B15" s="13"/>
      <c r="C15" s="12"/>
      <c r="D15" s="13"/>
      <c r="E15" t="str">
        <f>IFERROR(VLOOKUP(A15,[2]Principal!$A:$B,2,0),"")</f>
        <v/>
      </c>
      <c r="F15" s="6"/>
    </row>
    <row r="16" spans="1:6" ht="30" customHeight="1" x14ac:dyDescent="0.25">
      <c r="A16" s="12"/>
      <c r="B16" s="13"/>
      <c r="C16" s="12"/>
      <c r="D16" s="13"/>
      <c r="E16" t="str">
        <f>IFERROR(VLOOKUP(A16,[2]Principal!$A:$B,2,0),"")</f>
        <v/>
      </c>
      <c r="F16" s="6"/>
    </row>
    <row r="17" spans="1:6" ht="30" customHeight="1" x14ac:dyDescent="0.25">
      <c r="A17" s="12"/>
      <c r="B17" s="13"/>
      <c r="C17" s="12"/>
      <c r="D17" s="13"/>
      <c r="E17" t="str">
        <f>IFERROR(VLOOKUP(A17,[2]Principal!$A:$B,2,0),"")</f>
        <v/>
      </c>
      <c r="F17" s="6"/>
    </row>
    <row r="18" spans="1:6" ht="30" customHeight="1" x14ac:dyDescent="0.25">
      <c r="A18" s="12"/>
      <c r="B18" s="13"/>
      <c r="C18" s="12"/>
      <c r="D18" s="13"/>
      <c r="E18" t="str">
        <f>IFERROR(VLOOKUP(A18,[2]Principal!$A:$B,2,0),"")</f>
        <v/>
      </c>
      <c r="F18" s="6"/>
    </row>
    <row r="19" spans="1:6" ht="30" customHeight="1" x14ac:dyDescent="0.25">
      <c r="A19" s="12"/>
      <c r="B19" s="13"/>
      <c r="C19" s="12"/>
      <c r="D19" s="13"/>
      <c r="E19" t="str">
        <f>IFERROR(VLOOKUP(A19,[2]Principal!$A:$B,2,0),"")</f>
        <v/>
      </c>
      <c r="F19" s="6"/>
    </row>
    <row r="20" spans="1:6" ht="30" customHeight="1" x14ac:dyDescent="0.25">
      <c r="A20" s="12"/>
      <c r="B20" s="13"/>
      <c r="C20" s="12"/>
      <c r="D20" s="13"/>
      <c r="E20" t="str">
        <f>IFERROR(VLOOKUP(A20,[2]Principal!$A:$B,2,0),"")</f>
        <v/>
      </c>
      <c r="F20" s="6"/>
    </row>
    <row r="21" spans="1:6" ht="30" customHeight="1" x14ac:dyDescent="0.25">
      <c r="A21" s="12"/>
      <c r="B21" s="13"/>
      <c r="C21" s="12"/>
      <c r="D21" s="13"/>
      <c r="E21" t="str">
        <f>IFERROR(VLOOKUP(A21,[2]Principal!$A:$B,2,0),"")</f>
        <v/>
      </c>
      <c r="F21" s="6"/>
    </row>
    <row r="22" spans="1:6" ht="30" customHeight="1" x14ac:dyDescent="0.25">
      <c r="A22" s="12"/>
      <c r="B22" s="13"/>
      <c r="C22" s="12"/>
      <c r="D22" s="13"/>
      <c r="E22" t="str">
        <f>IFERROR(VLOOKUP(A22,[2]Principal!$A:$B,2,0),"")</f>
        <v/>
      </c>
      <c r="F22" s="6"/>
    </row>
    <row r="23" spans="1:6" ht="30" customHeight="1" x14ac:dyDescent="0.25">
      <c r="A23" s="12"/>
      <c r="B23" s="13"/>
      <c r="C23" s="12"/>
      <c r="D23" s="13"/>
      <c r="E23" t="str">
        <f>IFERROR(VLOOKUP(A23,[2]Principal!$A:$B,2,0),"")</f>
        <v/>
      </c>
      <c r="F23" s="6"/>
    </row>
    <row r="24" spans="1:6" ht="30" customHeight="1" x14ac:dyDescent="0.25">
      <c r="A24" s="7"/>
      <c r="B24" s="8"/>
      <c r="C24" s="7"/>
      <c r="D24" s="8"/>
      <c r="E24" t="str">
        <f>IFERROR(VLOOKUP(A24,[2]Principal!$A:$B,2,0),"")</f>
        <v/>
      </c>
      <c r="F24" s="6"/>
    </row>
    <row r="25" spans="1:6" ht="30" customHeight="1" x14ac:dyDescent="0.25">
      <c r="A25" s="7"/>
      <c r="B25" s="8"/>
      <c r="C25" s="7"/>
      <c r="D25" s="8"/>
      <c r="E25" t="str">
        <f>IFERROR(VLOOKUP(A25,[2]Principal!$A:$B,2,0),"")</f>
        <v/>
      </c>
      <c r="F25" s="6"/>
    </row>
    <row r="26" spans="1:6" ht="30" customHeight="1" x14ac:dyDescent="0.25">
      <c r="A26" s="7"/>
      <c r="B26" s="8"/>
      <c r="C26" s="7"/>
      <c r="D26" s="8"/>
      <c r="E26" t="str">
        <f>IFERROR(VLOOKUP(A26,[2]Principal!$A:$B,2,0),"")</f>
        <v/>
      </c>
      <c r="F26" s="6"/>
    </row>
    <row r="27" spans="1:6" ht="30" customHeight="1" x14ac:dyDescent="0.25">
      <c r="E27" t="str">
        <f>IFERROR(VLOOKUP(A27,[2]Principal!$A:$B,2,0),"")</f>
        <v/>
      </c>
    </row>
    <row r="28" spans="1:6" x14ac:dyDescent="0.25">
      <c r="E28" t="str">
        <f>IFERROR(VLOOKUP(A28,[2]Principal!$A:$B,2,0),"")</f>
        <v/>
      </c>
    </row>
    <row r="29" spans="1:6" x14ac:dyDescent="0.25">
      <c r="E29" t="str">
        <f>IFERROR(VLOOKUP(A29,[2]Principal!$A:$B,2,0),"")</f>
        <v/>
      </c>
    </row>
    <row r="30" spans="1:6" x14ac:dyDescent="0.25">
      <c r="E30" t="str">
        <f>IFERROR(VLOOKUP(A30,[2]Principal!$A:$B,2,0),"")</f>
        <v/>
      </c>
    </row>
    <row r="31" spans="1:6" x14ac:dyDescent="0.25">
      <c r="E31" t="str">
        <f>IFERROR(VLOOKUP(A31,[2]Principal!$A:$B,2,0),"")</f>
        <v/>
      </c>
    </row>
    <row r="32" spans="1:6" x14ac:dyDescent="0.25">
      <c r="E32" t="str">
        <f>IFERROR(VLOOKUP(A32,[2]Principal!$A:$B,2,0),"")</f>
        <v/>
      </c>
    </row>
    <row r="33" spans="5:5" x14ac:dyDescent="0.25">
      <c r="E33" t="str">
        <f>IFERROR(VLOOKUP(A33,[2]Principal!$A:$B,2,0),"")</f>
        <v/>
      </c>
    </row>
    <row r="34" spans="5:5" x14ac:dyDescent="0.25">
      <c r="E34" t="str">
        <f>IFERROR(VLOOKUP(A34,[2]Principal!$A:$B,2,0),"")</f>
        <v/>
      </c>
    </row>
    <row r="35" spans="5:5" x14ac:dyDescent="0.25">
      <c r="E35" t="str">
        <f>IFERROR(VLOOKUP(A35,[2]Principal!$A:$B,2,0),"")</f>
        <v/>
      </c>
    </row>
    <row r="36" spans="5:5" x14ac:dyDescent="0.25">
      <c r="E36" t="str">
        <f>IFERROR(VLOOKUP(A36,[2]Principal!$A:$B,2,0),"")</f>
        <v/>
      </c>
    </row>
    <row r="37" spans="5:5" x14ac:dyDescent="0.25">
      <c r="E37" t="str">
        <f>IFERROR(VLOOKUP(A37,[2]Principal!$A:$B,2,0),"")</f>
        <v/>
      </c>
    </row>
    <row r="38" spans="5:5" x14ac:dyDescent="0.25">
      <c r="E38" t="str">
        <f>IFERROR(VLOOKUP(A38,[2]Principal!$A:$B,2,0),"")</f>
        <v/>
      </c>
    </row>
    <row r="39" spans="5:5" x14ac:dyDescent="0.25">
      <c r="E39" t="str">
        <f>IFERROR(VLOOKUP(A39,[2]Principal!$A:$B,2,0),"")</f>
        <v/>
      </c>
    </row>
    <row r="40" spans="5:5" x14ac:dyDescent="0.25">
      <c r="E40" t="str">
        <f>IFERROR(VLOOKUP(A40,[2]Principal!$A:$B,2,0),"")</f>
        <v/>
      </c>
    </row>
    <row r="41" spans="5:5" x14ac:dyDescent="0.25">
      <c r="E41" t="str">
        <f>IFERROR(VLOOKUP(A41,[2]Principal!$A:$B,2,0),"")</f>
        <v/>
      </c>
    </row>
    <row r="42" spans="5:5" x14ac:dyDescent="0.25">
      <c r="E42" t="str">
        <f>IFERROR(VLOOKUP(A42,[2]Principal!$A:$B,2,0),"")</f>
        <v/>
      </c>
    </row>
    <row r="43" spans="5:5" x14ac:dyDescent="0.25">
      <c r="E43" t="str">
        <f>IFERROR(VLOOKUP(A43,[2]Principal!$A:$B,2,0),"")</f>
        <v/>
      </c>
    </row>
    <row r="44" spans="5:5" x14ac:dyDescent="0.25">
      <c r="E44" t="str">
        <f>IFERROR(VLOOKUP(A44,[2]Principal!$A:$B,2,0),"")</f>
        <v/>
      </c>
    </row>
    <row r="45" spans="5:5" x14ac:dyDescent="0.25">
      <c r="E45" t="str">
        <f>IFERROR(VLOOKUP(A45,[2]Principal!$A:$B,2,0),"")</f>
        <v/>
      </c>
    </row>
    <row r="46" spans="5:5" x14ac:dyDescent="0.25">
      <c r="E46" t="str">
        <f>IFERROR(VLOOKUP(A46,[2]Principal!$A:$B,2,0),"")</f>
        <v/>
      </c>
    </row>
    <row r="47" spans="5:5" x14ac:dyDescent="0.25">
      <c r="E47" t="str">
        <f>IFERROR(VLOOKUP(A47,[2]Principal!$A:$B,2,0),"")</f>
        <v/>
      </c>
    </row>
    <row r="48" spans="5:5" x14ac:dyDescent="0.25">
      <c r="E48" t="str">
        <f>IFERROR(VLOOKUP(A48,[2]Principal!$A:$B,2,0),"")</f>
        <v/>
      </c>
    </row>
    <row r="49" spans="5:5" x14ac:dyDescent="0.25">
      <c r="E49" t="str">
        <f>IFERROR(VLOOKUP(A49,[2]Principal!$A:$B,2,0),"")</f>
        <v/>
      </c>
    </row>
    <row r="50" spans="5:5" x14ac:dyDescent="0.25">
      <c r="E50" t="str">
        <f>IFERROR(VLOOKUP(A50,[2]Principal!$A:$B,2,0),"")</f>
        <v/>
      </c>
    </row>
    <row r="51" spans="5:5" x14ac:dyDescent="0.25">
      <c r="E51" t="str">
        <f>IFERROR(VLOOKUP(A51,[2]Principal!$A:$B,2,0),"")</f>
        <v/>
      </c>
    </row>
  </sheetData>
  <conditionalFormatting sqref="A24:D26">
    <cfRule type="expression" dxfId="2" priority="15">
      <formula>$F24="ATRASO"</formula>
    </cfRule>
  </conditionalFormatting>
  <conditionalFormatting sqref="A15:D23">
    <cfRule type="expression" dxfId="1" priority="2">
      <formula>$F15="ATRASO"</formula>
    </cfRule>
  </conditionalFormatting>
  <conditionalFormatting sqref="A2:D14">
    <cfRule type="expression" dxfId="0" priority="1">
      <formula>$F2="ATRASO"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47" r:id="rId3" name="imgfoto">
          <controlPr defaultSize="0" autoLine="0" r:id="rId4">
            <anchor moveWithCells="1">
              <from>
                <xdr:col>5</xdr:col>
                <xdr:colOff>38100</xdr:colOff>
                <xdr:row>1</xdr:row>
                <xdr:rowOff>19050</xdr:rowOff>
              </from>
              <to>
                <xdr:col>5</xdr:col>
                <xdr:colOff>628650</xdr:colOff>
                <xdr:row>2</xdr:row>
                <xdr:rowOff>0</xdr:rowOff>
              </to>
            </anchor>
          </controlPr>
        </control>
      </mc:Choice>
      <mc:Fallback>
        <control shapeId="1047" r:id="rId3" name="imgfoto"/>
      </mc:Fallback>
    </mc:AlternateContent>
    <mc:AlternateContent xmlns:mc="http://schemas.openxmlformats.org/markup-compatibility/2006">
      <mc:Choice Requires="x14">
        <control shapeId="1048" r:id="rId5" name="Image1">
          <controlPr defaultSize="0" autoLine="0" r:id="rId6">
            <anchor moveWithCells="1">
              <from>
                <xdr:col>5</xdr:col>
                <xdr:colOff>47625</xdr:colOff>
                <xdr:row>2</xdr:row>
                <xdr:rowOff>9525</xdr:rowOff>
              </from>
              <to>
                <xdr:col>5</xdr:col>
                <xdr:colOff>619125</xdr:colOff>
                <xdr:row>2</xdr:row>
                <xdr:rowOff>361950</xdr:rowOff>
              </to>
            </anchor>
          </controlPr>
        </control>
      </mc:Choice>
      <mc:Fallback>
        <control shapeId="1048" r:id="rId5" name="Image1"/>
      </mc:Fallback>
    </mc:AlternateContent>
    <mc:AlternateContent xmlns:mc="http://schemas.openxmlformats.org/markup-compatibility/2006">
      <mc:Choice Requires="x14">
        <control shapeId="1049" r:id="rId7" name="Image2">
          <controlPr defaultSize="0" autoLine="0" r:id="rId8">
            <anchor moveWithCells="1">
              <from>
                <xdr:col>5</xdr:col>
                <xdr:colOff>57150</xdr:colOff>
                <xdr:row>3</xdr:row>
                <xdr:rowOff>9525</xdr:rowOff>
              </from>
              <to>
                <xdr:col>5</xdr:col>
                <xdr:colOff>628650</xdr:colOff>
                <xdr:row>3</xdr:row>
                <xdr:rowOff>361950</xdr:rowOff>
              </to>
            </anchor>
          </controlPr>
        </control>
      </mc:Choice>
      <mc:Fallback>
        <control shapeId="1049" r:id="rId7" name="Image2"/>
      </mc:Fallback>
    </mc:AlternateContent>
    <mc:AlternateContent xmlns:mc="http://schemas.openxmlformats.org/markup-compatibility/2006">
      <mc:Choice Requires="x14">
        <control shapeId="1050" r:id="rId9" name="Image3">
          <controlPr defaultSize="0" autoLine="0" r:id="rId10">
            <anchor moveWithCells="1">
              <from>
                <xdr:col>5</xdr:col>
                <xdr:colOff>57150</xdr:colOff>
                <xdr:row>4</xdr:row>
                <xdr:rowOff>19050</xdr:rowOff>
              </from>
              <to>
                <xdr:col>5</xdr:col>
                <xdr:colOff>628650</xdr:colOff>
                <xdr:row>4</xdr:row>
                <xdr:rowOff>371475</xdr:rowOff>
              </to>
            </anchor>
          </controlPr>
        </control>
      </mc:Choice>
      <mc:Fallback>
        <control shapeId="1050" r:id="rId9" name="Image3"/>
      </mc:Fallback>
    </mc:AlternateContent>
    <mc:AlternateContent xmlns:mc="http://schemas.openxmlformats.org/markup-compatibility/2006">
      <mc:Choice Requires="x14">
        <control shapeId="1051" r:id="rId11" name="Image4">
          <controlPr defaultSize="0" autoLine="0" r:id="rId12">
            <anchor moveWithCells="1">
              <from>
                <xdr:col>5</xdr:col>
                <xdr:colOff>57150</xdr:colOff>
                <xdr:row>5</xdr:row>
                <xdr:rowOff>9525</xdr:rowOff>
              </from>
              <to>
                <xdr:col>5</xdr:col>
                <xdr:colOff>628650</xdr:colOff>
                <xdr:row>5</xdr:row>
                <xdr:rowOff>361950</xdr:rowOff>
              </to>
            </anchor>
          </controlPr>
        </control>
      </mc:Choice>
      <mc:Fallback>
        <control shapeId="1051" r:id="rId11" name="Image4"/>
      </mc:Fallback>
    </mc:AlternateContent>
    <mc:AlternateContent xmlns:mc="http://schemas.openxmlformats.org/markup-compatibility/2006">
      <mc:Choice Requires="x14">
        <control shapeId="1052" r:id="rId13" name="Image5">
          <controlPr defaultSize="0" autoLine="0" r:id="rId14">
            <anchor moveWithCells="1">
              <from>
                <xdr:col>5</xdr:col>
                <xdr:colOff>57150</xdr:colOff>
                <xdr:row>6</xdr:row>
                <xdr:rowOff>9525</xdr:rowOff>
              </from>
              <to>
                <xdr:col>5</xdr:col>
                <xdr:colOff>628650</xdr:colOff>
                <xdr:row>6</xdr:row>
                <xdr:rowOff>361950</xdr:rowOff>
              </to>
            </anchor>
          </controlPr>
        </control>
      </mc:Choice>
      <mc:Fallback>
        <control shapeId="1052" r:id="rId13" name="Image5"/>
      </mc:Fallback>
    </mc:AlternateContent>
    <mc:AlternateContent xmlns:mc="http://schemas.openxmlformats.org/markup-compatibility/2006">
      <mc:Choice Requires="x14">
        <control shapeId="1053" r:id="rId15" name="Image6">
          <controlPr defaultSize="0" autoLine="0" r:id="rId16">
            <anchor moveWithCells="1">
              <from>
                <xdr:col>5</xdr:col>
                <xdr:colOff>47625</xdr:colOff>
                <xdr:row>7</xdr:row>
                <xdr:rowOff>19050</xdr:rowOff>
              </from>
              <to>
                <xdr:col>5</xdr:col>
                <xdr:colOff>619125</xdr:colOff>
                <xdr:row>7</xdr:row>
                <xdr:rowOff>371475</xdr:rowOff>
              </to>
            </anchor>
          </controlPr>
        </control>
      </mc:Choice>
      <mc:Fallback>
        <control shapeId="1053" r:id="rId15" name="Image6"/>
      </mc:Fallback>
    </mc:AlternateContent>
    <mc:AlternateContent xmlns:mc="http://schemas.openxmlformats.org/markup-compatibility/2006">
      <mc:Choice Requires="x14">
        <control shapeId="1054" r:id="rId17" name="Image7">
          <controlPr defaultSize="0" autoLine="0" r:id="rId18">
            <anchor moveWithCells="1">
              <from>
                <xdr:col>5</xdr:col>
                <xdr:colOff>47625</xdr:colOff>
                <xdr:row>8</xdr:row>
                <xdr:rowOff>19050</xdr:rowOff>
              </from>
              <to>
                <xdr:col>5</xdr:col>
                <xdr:colOff>619125</xdr:colOff>
                <xdr:row>8</xdr:row>
                <xdr:rowOff>371475</xdr:rowOff>
              </to>
            </anchor>
          </controlPr>
        </control>
      </mc:Choice>
      <mc:Fallback>
        <control shapeId="1054" r:id="rId17" name="Image7"/>
      </mc:Fallback>
    </mc:AlternateContent>
    <mc:AlternateContent xmlns:mc="http://schemas.openxmlformats.org/markup-compatibility/2006">
      <mc:Choice Requires="x14">
        <control shapeId="1055" r:id="rId19" name="Image8">
          <controlPr defaultSize="0" autoLine="0" r:id="rId20">
            <anchor moveWithCells="1">
              <from>
                <xdr:col>5</xdr:col>
                <xdr:colOff>47625</xdr:colOff>
                <xdr:row>9</xdr:row>
                <xdr:rowOff>19050</xdr:rowOff>
              </from>
              <to>
                <xdr:col>5</xdr:col>
                <xdr:colOff>619125</xdr:colOff>
                <xdr:row>9</xdr:row>
                <xdr:rowOff>371475</xdr:rowOff>
              </to>
            </anchor>
          </controlPr>
        </control>
      </mc:Choice>
      <mc:Fallback>
        <control shapeId="1055" r:id="rId19" name="Image8"/>
      </mc:Fallback>
    </mc:AlternateContent>
    <mc:AlternateContent xmlns:mc="http://schemas.openxmlformats.org/markup-compatibility/2006">
      <mc:Choice Requires="x14">
        <control shapeId="1056" r:id="rId21" name="Image9">
          <controlPr defaultSize="0" autoLine="0" r:id="rId22">
            <anchor moveWithCells="1">
              <from>
                <xdr:col>5</xdr:col>
                <xdr:colOff>47625</xdr:colOff>
                <xdr:row>10</xdr:row>
                <xdr:rowOff>19050</xdr:rowOff>
              </from>
              <to>
                <xdr:col>5</xdr:col>
                <xdr:colOff>619125</xdr:colOff>
                <xdr:row>10</xdr:row>
                <xdr:rowOff>371475</xdr:rowOff>
              </to>
            </anchor>
          </controlPr>
        </control>
      </mc:Choice>
      <mc:Fallback>
        <control shapeId="1056" r:id="rId21" name="Image9"/>
      </mc:Fallback>
    </mc:AlternateContent>
    <mc:AlternateContent xmlns:mc="http://schemas.openxmlformats.org/markup-compatibility/2006">
      <mc:Choice Requires="x14">
        <control shapeId="1057" r:id="rId23" name="Image10">
          <controlPr defaultSize="0" autoLine="0" r:id="rId22">
            <anchor moveWithCells="1">
              <from>
                <xdr:col>5</xdr:col>
                <xdr:colOff>47625</xdr:colOff>
                <xdr:row>11</xdr:row>
                <xdr:rowOff>19050</xdr:rowOff>
              </from>
              <to>
                <xdr:col>5</xdr:col>
                <xdr:colOff>619125</xdr:colOff>
                <xdr:row>11</xdr:row>
                <xdr:rowOff>371475</xdr:rowOff>
              </to>
            </anchor>
          </controlPr>
        </control>
      </mc:Choice>
      <mc:Fallback>
        <control shapeId="1057" r:id="rId23" name="Image10"/>
      </mc:Fallback>
    </mc:AlternateContent>
    <mc:AlternateContent xmlns:mc="http://schemas.openxmlformats.org/markup-compatibility/2006">
      <mc:Choice Requires="x14">
        <control shapeId="1058" r:id="rId24" name="Image12">
          <controlPr defaultSize="0" autoLine="0" r:id="rId22">
            <anchor moveWithCells="1">
              <from>
                <xdr:col>5</xdr:col>
                <xdr:colOff>47625</xdr:colOff>
                <xdr:row>12</xdr:row>
                <xdr:rowOff>19050</xdr:rowOff>
              </from>
              <to>
                <xdr:col>5</xdr:col>
                <xdr:colOff>619125</xdr:colOff>
                <xdr:row>12</xdr:row>
                <xdr:rowOff>371475</xdr:rowOff>
              </to>
            </anchor>
          </controlPr>
        </control>
      </mc:Choice>
      <mc:Fallback>
        <control shapeId="1058" r:id="rId24" name="Image12"/>
      </mc:Fallback>
    </mc:AlternateContent>
    <mc:AlternateContent xmlns:mc="http://schemas.openxmlformats.org/markup-compatibility/2006">
      <mc:Choice Requires="x14">
        <control shapeId="1060" r:id="rId25" name="Image18">
          <controlPr defaultSize="0" autoLine="0" r:id="rId26">
            <anchor moveWithCells="1">
              <from>
                <xdr:col>5</xdr:col>
                <xdr:colOff>47625</xdr:colOff>
                <xdr:row>13</xdr:row>
                <xdr:rowOff>28575</xdr:rowOff>
              </from>
              <to>
                <xdr:col>5</xdr:col>
                <xdr:colOff>619125</xdr:colOff>
                <xdr:row>14</xdr:row>
                <xdr:rowOff>0</xdr:rowOff>
              </to>
            </anchor>
          </controlPr>
        </control>
      </mc:Choice>
      <mc:Fallback>
        <control shapeId="1060" r:id="rId25" name="Image18"/>
      </mc:Fallback>
    </mc:AlternateContent>
    <mc:AlternateContent xmlns:mc="http://schemas.openxmlformats.org/markup-compatibility/2006">
      <mc:Choice Requires="x14">
        <control shapeId="1061" r:id="rId27" name="Image19">
          <controlPr defaultSize="0" autoLine="0" r:id="rId22">
            <anchor moveWithCells="1">
              <from>
                <xdr:col>5</xdr:col>
                <xdr:colOff>47625</xdr:colOff>
                <xdr:row>14</xdr:row>
                <xdr:rowOff>28575</xdr:rowOff>
              </from>
              <to>
                <xdr:col>5</xdr:col>
                <xdr:colOff>619125</xdr:colOff>
                <xdr:row>15</xdr:row>
                <xdr:rowOff>0</xdr:rowOff>
              </to>
            </anchor>
          </controlPr>
        </control>
      </mc:Choice>
      <mc:Fallback>
        <control shapeId="1061" r:id="rId27" name="Image19"/>
      </mc:Fallback>
    </mc:AlternateContent>
    <mc:AlternateContent xmlns:mc="http://schemas.openxmlformats.org/markup-compatibility/2006">
      <mc:Choice Requires="x14">
        <control shapeId="1062" r:id="rId28" name="Image20">
          <controlPr defaultSize="0" autoLine="0" r:id="rId29">
            <anchor moveWithCells="1">
              <from>
                <xdr:col>5</xdr:col>
                <xdr:colOff>47625</xdr:colOff>
                <xdr:row>15</xdr:row>
                <xdr:rowOff>28575</xdr:rowOff>
              </from>
              <to>
                <xdr:col>5</xdr:col>
                <xdr:colOff>619125</xdr:colOff>
                <xdr:row>16</xdr:row>
                <xdr:rowOff>0</xdr:rowOff>
              </to>
            </anchor>
          </controlPr>
        </control>
      </mc:Choice>
      <mc:Fallback>
        <control shapeId="1062" r:id="rId28" name="Image20"/>
      </mc:Fallback>
    </mc:AlternateContent>
    <mc:AlternateContent xmlns:mc="http://schemas.openxmlformats.org/markup-compatibility/2006">
      <mc:Choice Requires="x14">
        <control shapeId="1063" r:id="rId30" name="Image21">
          <controlPr defaultSize="0" autoLine="0" r:id="rId18">
            <anchor moveWithCells="1">
              <from>
                <xdr:col>5</xdr:col>
                <xdr:colOff>47625</xdr:colOff>
                <xdr:row>16</xdr:row>
                <xdr:rowOff>28575</xdr:rowOff>
              </from>
              <to>
                <xdr:col>5</xdr:col>
                <xdr:colOff>619125</xdr:colOff>
                <xdr:row>17</xdr:row>
                <xdr:rowOff>0</xdr:rowOff>
              </to>
            </anchor>
          </controlPr>
        </control>
      </mc:Choice>
      <mc:Fallback>
        <control shapeId="1063" r:id="rId30" name="Image21"/>
      </mc:Fallback>
    </mc:AlternateContent>
    <mc:AlternateContent xmlns:mc="http://schemas.openxmlformats.org/markup-compatibility/2006">
      <mc:Choice Requires="x14">
        <control shapeId="1064" r:id="rId31" name="Image22">
          <controlPr defaultSize="0" autoLine="0" r:id="rId32">
            <anchor moveWithCells="1">
              <from>
                <xdr:col>5</xdr:col>
                <xdr:colOff>47625</xdr:colOff>
                <xdr:row>17</xdr:row>
                <xdr:rowOff>28575</xdr:rowOff>
              </from>
              <to>
                <xdr:col>5</xdr:col>
                <xdr:colOff>619125</xdr:colOff>
                <xdr:row>18</xdr:row>
                <xdr:rowOff>0</xdr:rowOff>
              </to>
            </anchor>
          </controlPr>
        </control>
      </mc:Choice>
      <mc:Fallback>
        <control shapeId="1064" r:id="rId31" name="Image22"/>
      </mc:Fallback>
    </mc:AlternateContent>
    <mc:AlternateContent xmlns:mc="http://schemas.openxmlformats.org/markup-compatibility/2006">
      <mc:Choice Requires="x14">
        <control shapeId="1065" r:id="rId33" name="Image13">
          <controlPr defaultSize="0" autoLine="0" r:id="rId34">
            <anchor moveWithCells="1">
              <from>
                <xdr:col>5</xdr:col>
                <xdr:colOff>47625</xdr:colOff>
                <xdr:row>18</xdr:row>
                <xdr:rowOff>19050</xdr:rowOff>
              </from>
              <to>
                <xdr:col>5</xdr:col>
                <xdr:colOff>619125</xdr:colOff>
                <xdr:row>18</xdr:row>
                <xdr:rowOff>371475</xdr:rowOff>
              </to>
            </anchor>
          </controlPr>
        </control>
      </mc:Choice>
      <mc:Fallback>
        <control shapeId="1065" r:id="rId33" name="Image13"/>
      </mc:Fallback>
    </mc:AlternateContent>
    <mc:AlternateContent xmlns:mc="http://schemas.openxmlformats.org/markup-compatibility/2006">
      <mc:Choice Requires="x14">
        <control shapeId="1066" r:id="rId35" name="Image14">
          <controlPr defaultSize="0" autoLine="0" r:id="rId36">
            <anchor moveWithCells="1">
              <from>
                <xdr:col>5</xdr:col>
                <xdr:colOff>47625</xdr:colOff>
                <xdr:row>19</xdr:row>
                <xdr:rowOff>9525</xdr:rowOff>
              </from>
              <to>
                <xdr:col>5</xdr:col>
                <xdr:colOff>619125</xdr:colOff>
                <xdr:row>19</xdr:row>
                <xdr:rowOff>361950</xdr:rowOff>
              </to>
            </anchor>
          </controlPr>
        </control>
      </mc:Choice>
      <mc:Fallback>
        <control shapeId="1066" r:id="rId35" name="Image14"/>
      </mc:Fallback>
    </mc:AlternateContent>
    <mc:AlternateContent xmlns:mc="http://schemas.openxmlformats.org/markup-compatibility/2006">
      <mc:Choice Requires="x14">
        <control shapeId="1067" r:id="rId37" name="Image15">
          <controlPr defaultSize="0" autoLine="0" r:id="rId20">
            <anchor moveWithCells="1">
              <from>
                <xdr:col>5</xdr:col>
                <xdr:colOff>47625</xdr:colOff>
                <xdr:row>20</xdr:row>
                <xdr:rowOff>19050</xdr:rowOff>
              </from>
              <to>
                <xdr:col>5</xdr:col>
                <xdr:colOff>619125</xdr:colOff>
                <xdr:row>20</xdr:row>
                <xdr:rowOff>371475</xdr:rowOff>
              </to>
            </anchor>
          </controlPr>
        </control>
      </mc:Choice>
      <mc:Fallback>
        <control shapeId="1067" r:id="rId37" name="Image15"/>
      </mc:Fallback>
    </mc:AlternateContent>
    <mc:AlternateContent xmlns:mc="http://schemas.openxmlformats.org/markup-compatibility/2006">
      <mc:Choice Requires="x14">
        <control shapeId="1068" r:id="rId38" name="Image16">
          <controlPr defaultSize="0" autoLine="0" r:id="rId22">
            <anchor moveWithCells="1">
              <from>
                <xdr:col>5</xdr:col>
                <xdr:colOff>47625</xdr:colOff>
                <xdr:row>21</xdr:row>
                <xdr:rowOff>9525</xdr:rowOff>
              </from>
              <to>
                <xdr:col>5</xdr:col>
                <xdr:colOff>619125</xdr:colOff>
                <xdr:row>21</xdr:row>
                <xdr:rowOff>361950</xdr:rowOff>
              </to>
            </anchor>
          </controlPr>
        </control>
      </mc:Choice>
      <mc:Fallback>
        <control shapeId="1068" r:id="rId38" name="Image16"/>
      </mc:Fallback>
    </mc:AlternateContent>
    <mc:AlternateContent xmlns:mc="http://schemas.openxmlformats.org/markup-compatibility/2006">
      <mc:Choice Requires="x14">
        <control shapeId="1069" r:id="rId39" name="Image17">
          <controlPr defaultSize="0" autoLine="0" r:id="rId22">
            <anchor moveWithCells="1">
              <from>
                <xdr:col>5</xdr:col>
                <xdr:colOff>47625</xdr:colOff>
                <xdr:row>22</xdr:row>
                <xdr:rowOff>28575</xdr:rowOff>
              </from>
              <to>
                <xdr:col>5</xdr:col>
                <xdr:colOff>619125</xdr:colOff>
                <xdr:row>23</xdr:row>
                <xdr:rowOff>0</xdr:rowOff>
              </to>
            </anchor>
          </controlPr>
        </control>
      </mc:Choice>
      <mc:Fallback>
        <control shapeId="1069" r:id="rId39" name="Image17"/>
      </mc:Fallback>
    </mc:AlternateContent>
    <mc:AlternateContent xmlns:mc="http://schemas.openxmlformats.org/markup-compatibility/2006">
      <mc:Choice Requires="x14">
        <control shapeId="1070" r:id="rId40" name="Image11">
          <controlPr defaultSize="0" autoLine="0" r:id="rId22">
            <anchor moveWithCells="1">
              <from>
                <xdr:col>5</xdr:col>
                <xdr:colOff>47625</xdr:colOff>
                <xdr:row>23</xdr:row>
                <xdr:rowOff>28575</xdr:rowOff>
              </from>
              <to>
                <xdr:col>5</xdr:col>
                <xdr:colOff>619125</xdr:colOff>
                <xdr:row>24</xdr:row>
                <xdr:rowOff>0</xdr:rowOff>
              </to>
            </anchor>
          </controlPr>
        </control>
      </mc:Choice>
      <mc:Fallback>
        <control shapeId="1070" r:id="rId40" name="Image11"/>
      </mc:Fallback>
    </mc:AlternateContent>
    <mc:AlternateContent xmlns:mc="http://schemas.openxmlformats.org/markup-compatibility/2006">
      <mc:Choice Requires="x14">
        <control shapeId="1071" r:id="rId41" name="Image23">
          <controlPr defaultSize="0" autoLine="0" r:id="rId22">
            <anchor moveWithCells="1">
              <from>
                <xdr:col>5</xdr:col>
                <xdr:colOff>47625</xdr:colOff>
                <xdr:row>24</xdr:row>
                <xdr:rowOff>28575</xdr:rowOff>
              </from>
              <to>
                <xdr:col>5</xdr:col>
                <xdr:colOff>619125</xdr:colOff>
                <xdr:row>25</xdr:row>
                <xdr:rowOff>0</xdr:rowOff>
              </to>
            </anchor>
          </controlPr>
        </control>
      </mc:Choice>
      <mc:Fallback>
        <control shapeId="1071" r:id="rId41" name="Image23"/>
      </mc:Fallback>
    </mc:AlternateContent>
    <mc:AlternateContent xmlns:mc="http://schemas.openxmlformats.org/markup-compatibility/2006">
      <mc:Choice Requires="x14">
        <control shapeId="1072" r:id="rId42" name="Image24">
          <controlPr defaultSize="0" autoLine="0" r:id="rId22">
            <anchor moveWithCells="1">
              <from>
                <xdr:col>5</xdr:col>
                <xdr:colOff>47625</xdr:colOff>
                <xdr:row>25</xdr:row>
                <xdr:rowOff>28575</xdr:rowOff>
              </from>
              <to>
                <xdr:col>5</xdr:col>
                <xdr:colOff>619125</xdr:colOff>
                <xdr:row>26</xdr:row>
                <xdr:rowOff>0</xdr:rowOff>
              </to>
            </anchor>
          </controlPr>
        </control>
      </mc:Choice>
      <mc:Fallback>
        <control shapeId="1072" r:id="rId42" name="Image24"/>
      </mc:Fallback>
    </mc:AlternateContent>
    <mc:AlternateContent xmlns:mc="http://schemas.openxmlformats.org/markup-compatibility/2006">
      <mc:Choice Requires="x14">
        <control shapeId="1073" r:id="rId43" name="Image25">
          <controlPr defaultSize="0" autoLine="0" r:id="rId44">
            <anchor moveWithCells="1">
              <from>
                <xdr:col>5</xdr:col>
                <xdr:colOff>47625</xdr:colOff>
                <xdr:row>26</xdr:row>
                <xdr:rowOff>28575</xdr:rowOff>
              </from>
              <to>
                <xdr:col>5</xdr:col>
                <xdr:colOff>619125</xdr:colOff>
                <xdr:row>27</xdr:row>
                <xdr:rowOff>0</xdr:rowOff>
              </to>
            </anchor>
          </controlPr>
        </control>
      </mc:Choice>
      <mc:Fallback>
        <control shapeId="1073" r:id="rId43" name="Image25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matrizes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Idelemar Pereira Rodrigues</dc:creator>
  <cp:lastModifiedBy>Antonio Idelemar Pereira Rodrigues</cp:lastModifiedBy>
  <dcterms:created xsi:type="dcterms:W3CDTF">2015-06-05T18:19:34Z</dcterms:created>
  <dcterms:modified xsi:type="dcterms:W3CDTF">2022-10-11T19:41:06Z</dcterms:modified>
</cp:coreProperties>
</file>